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 Health\Desktop\"/>
    </mc:Choice>
  </mc:AlternateContent>
  <xr:revisionPtr revIDLastSave="0" documentId="8_{1610C28D-B0A8-4AD5-89EC-038813EB0E3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4" sheetId="6" r:id="rId1"/>
    <sheet name="Sheet3" sheetId="3" r:id="rId2"/>
    <sheet name="Sheet7" sheetId="9" r:id="rId3"/>
    <sheet name="Sheet1" sheetId="4" r:id="rId4"/>
    <sheet name="Sheet2" sheetId="5" r:id="rId5"/>
  </sheets>
  <definedNames>
    <definedName name="_xlnm._FilterDatabase" localSheetId="1" hidden="1">Sheet3!$A$1:$L$85</definedName>
    <definedName name="_xlchart.v1.0" hidden="1">Sheet3!$A$107:$A$120</definedName>
    <definedName name="_xlchart.v1.1" hidden="1">Sheet3!$B$107:$B$120</definedName>
    <definedName name="_xlchart.v1.10" hidden="1">Sheet3!$A$107:$A$120</definedName>
    <definedName name="_xlchart.v1.11" hidden="1">Sheet3!$B$107:$B$120</definedName>
    <definedName name="_xlchart.v1.12" hidden="1">Sheet3!$A$107:$A$120</definedName>
    <definedName name="_xlchart.v1.13" hidden="1">Sheet3!$B$107:$B$120</definedName>
    <definedName name="_xlchart.v1.2" hidden="1">Sheet3!$A$107:$A$120</definedName>
    <definedName name="_xlchart.v1.3" hidden="1">Sheet3!$B$107:$B$120</definedName>
    <definedName name="_xlchart.v1.4" hidden="1">Sheet3!$A$107:$A$120</definedName>
    <definedName name="_xlchart.v1.5" hidden="1">Sheet3!$B$107:$B$120</definedName>
    <definedName name="_xlchart.v1.6" hidden="1">Sheet3!$A$107:$A$120</definedName>
    <definedName name="_xlchart.v1.7" hidden="1">Sheet3!$B$107:$B$120</definedName>
    <definedName name="_xlchart.v1.8" hidden="1">Sheet3!$A$107:$A$120</definedName>
    <definedName name="_xlchart.v1.9" hidden="1">Sheet3!$B$107:$B$120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5" i="3" l="1"/>
  <c r="B123" i="3"/>
  <c r="B124" i="3"/>
  <c r="B126" i="3"/>
  <c r="A100" i="9"/>
  <c r="A99" i="9"/>
  <c r="A98" i="9"/>
  <c r="A97" i="9"/>
  <c r="A96" i="9"/>
  <c r="A95" i="9"/>
  <c r="A94" i="9"/>
  <c r="A93" i="9"/>
  <c r="B104" i="3"/>
  <c r="B103" i="3"/>
  <c r="B102" i="3"/>
  <c r="G99" i="3"/>
  <c r="G97" i="3"/>
  <c r="G98" i="3"/>
  <c r="G96" i="3"/>
  <c r="G95" i="3"/>
  <c r="G94" i="3"/>
  <c r="G93" i="3"/>
  <c r="F96" i="3"/>
  <c r="F95" i="3"/>
  <c r="F93" i="3"/>
  <c r="F94" i="3"/>
  <c r="F99" i="3"/>
  <c r="F98" i="3"/>
  <c r="F97" i="3"/>
  <c r="E93" i="3"/>
  <c r="E94" i="3"/>
  <c r="E95" i="3"/>
  <c r="E96" i="3"/>
  <c r="E97" i="3"/>
  <c r="E98" i="3"/>
  <c r="E99" i="3"/>
  <c r="H100" i="3"/>
  <c r="G100" i="3"/>
  <c r="F100" i="3"/>
  <c r="E100" i="3"/>
  <c r="B98" i="3"/>
  <c r="B99" i="3"/>
  <c r="B97" i="3"/>
  <c r="B96" i="3"/>
  <c r="B95" i="3"/>
  <c r="B94" i="3"/>
  <c r="B93" i="3"/>
  <c r="B5" i="5"/>
  <c r="B4" i="5"/>
  <c r="B3" i="5"/>
  <c r="B2" i="5"/>
</calcChain>
</file>

<file path=xl/sharedStrings.xml><?xml version="1.0" encoding="utf-8"?>
<sst xmlns="http://schemas.openxmlformats.org/spreadsheetml/2006/main" count="811" uniqueCount="63">
  <si>
    <t>A</t>
  </si>
  <si>
    <t>H</t>
  </si>
  <si>
    <t>06.10.</t>
  </si>
  <si>
    <t>07.10.</t>
  </si>
  <si>
    <t>12.10.</t>
  </si>
  <si>
    <t>11.10.</t>
  </si>
  <si>
    <t>08.10.</t>
  </si>
  <si>
    <t>17 სთ</t>
  </si>
  <si>
    <t>16 სთ</t>
  </si>
  <si>
    <t>11 სთ</t>
  </si>
  <si>
    <t>13სთ.</t>
  </si>
  <si>
    <t>13.10.</t>
  </si>
  <si>
    <t>16.10.</t>
  </si>
  <si>
    <t>14.10.</t>
  </si>
  <si>
    <t>15.10.</t>
  </si>
  <si>
    <t>09.10.</t>
  </si>
  <si>
    <t>10.10.</t>
  </si>
  <si>
    <t>17 სთ.</t>
  </si>
  <si>
    <t>05.10.</t>
  </si>
  <si>
    <t>N</t>
  </si>
  <si>
    <t>fever</t>
  </si>
  <si>
    <t>vomiting</t>
  </si>
  <si>
    <t>diarrhea</t>
  </si>
  <si>
    <t>abdominal pain</t>
  </si>
  <si>
    <t>symptoms onset period</t>
  </si>
  <si>
    <t>symptoms onset date</t>
  </si>
  <si>
    <t>last date attending the kindergarten</t>
  </si>
  <si>
    <t>place of treatment</t>
  </si>
  <si>
    <t>kindergarten</t>
  </si>
  <si>
    <t>age</t>
  </si>
  <si>
    <t>yes</t>
  </si>
  <si>
    <t>no</t>
  </si>
  <si>
    <t>morning</t>
  </si>
  <si>
    <t>evening</t>
  </si>
  <si>
    <t>midday</t>
  </si>
  <si>
    <t>home</t>
  </si>
  <si>
    <t>Ratevani</t>
  </si>
  <si>
    <t>Balichi</t>
  </si>
  <si>
    <t>Kazreti</t>
  </si>
  <si>
    <t>min-max</t>
  </si>
  <si>
    <t>mean (sd)</t>
  </si>
  <si>
    <t>median(IQR)</t>
  </si>
  <si>
    <t>R</t>
  </si>
  <si>
    <t>B</t>
  </si>
  <si>
    <t>K</t>
  </si>
  <si>
    <t>n %</t>
  </si>
  <si>
    <t>Max</t>
  </si>
  <si>
    <t>min</t>
  </si>
  <si>
    <t xml:space="preserve">mean </t>
  </si>
  <si>
    <t>SD</t>
  </si>
  <si>
    <t>median</t>
  </si>
  <si>
    <t>Iqr</t>
  </si>
  <si>
    <t>total</t>
  </si>
  <si>
    <t>ambulatory</t>
  </si>
  <si>
    <t>hospital</t>
  </si>
  <si>
    <t>03.10.</t>
  </si>
  <si>
    <t>04.10.</t>
  </si>
  <si>
    <t>Row Labels</t>
  </si>
  <si>
    <t>Grand Total</t>
  </si>
  <si>
    <t>Count of 04.10.</t>
  </si>
  <si>
    <t>Fever</t>
  </si>
  <si>
    <t>Vomiting</t>
  </si>
  <si>
    <t>Diarrhea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</si>
</sst>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2" formatCode="0.00_);\(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NumberFormat="1" applyBorder="1"/>
    <xf numFmtId="0" fontId="0" fillId="0" borderId="0" xfId="0" applyBorder="1"/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170" fontId="0" fillId="0" borderId="6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6" xfId="0" applyBorder="1"/>
    <xf numFmtId="17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symptoms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Sheet3!$A$123:$A$126</c:f>
              <c:strCache>
                <c:ptCount val="4"/>
                <c:pt idx="0">
                  <c:v>Vomiting</c:v>
                </c:pt>
                <c:pt idx="1">
                  <c:v>Fever</c:v>
                </c:pt>
                <c:pt idx="2">
                  <c:v>abdominal pain</c:v>
                </c:pt>
                <c:pt idx="3">
                  <c:v>Diarrhea</c:v>
                </c:pt>
              </c:strCache>
            </c:strRef>
          </c:cat>
          <c:val>
            <c:numRef>
              <c:f>Sheet3!$B$123:$B$126</c:f>
              <c:numCache>
                <c:formatCode>0.0</c:formatCode>
                <c:ptCount val="4"/>
                <c:pt idx="0">
                  <c:v>27.380952380952383</c:v>
                </c:pt>
                <c:pt idx="1">
                  <c:v>65.476190476190482</c:v>
                </c:pt>
                <c:pt idx="2">
                  <c:v>70.238095238095227</c:v>
                </c:pt>
                <c:pt idx="3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D-412A-9521-32FCAA5F03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71792"/>
        <c:axId val="1306981120"/>
      </c:barChart>
      <c:catAx>
        <c:axId val="164587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symptoms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81120"/>
        <c:crosses val="autoZero"/>
        <c:auto val="1"/>
        <c:lblAlgn val="ctr"/>
        <c:lblOffset val="100"/>
        <c:noMultiLvlLbl val="0"/>
      </c:catAx>
      <c:valAx>
        <c:axId val="13069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7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65601860743019E-2"/>
          <c:y val="0.11161745670656563"/>
          <c:w val="0.92418615965687212"/>
          <c:h val="0.7676201524037568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Sheet1!$B$3:$B$14</c:f>
              <c:strCache>
                <c:ptCount val="12"/>
                <c:pt idx="0">
                  <c:v>05.10.</c:v>
                </c:pt>
                <c:pt idx="1">
                  <c:v>06.10.</c:v>
                </c:pt>
                <c:pt idx="2">
                  <c:v>07.10.</c:v>
                </c:pt>
                <c:pt idx="3">
                  <c:v>08.10.</c:v>
                </c:pt>
                <c:pt idx="4">
                  <c:v>09.10.</c:v>
                </c:pt>
                <c:pt idx="5">
                  <c:v>10.10.</c:v>
                </c:pt>
                <c:pt idx="6">
                  <c:v>11.10.</c:v>
                </c:pt>
                <c:pt idx="7">
                  <c:v>12.10.</c:v>
                </c:pt>
                <c:pt idx="8">
                  <c:v>13.10.</c:v>
                </c:pt>
                <c:pt idx="9">
                  <c:v>14.10.</c:v>
                </c:pt>
                <c:pt idx="10">
                  <c:v>15.10.</c:v>
                </c:pt>
                <c:pt idx="11">
                  <c:v>16.10.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</c:v>
                </c:pt>
                <c:pt idx="1">
                  <c:v>31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17</c:v>
                </c:pt>
                <c:pt idx="7">
                  <c:v>11</c:v>
                </c:pt>
                <c:pt idx="8">
                  <c:v>7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661-896D-7DEE49D5F6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25"/>
        <c:axId val="1289111071"/>
        <c:axId val="1191955615"/>
      </c:barChart>
      <c:catAx>
        <c:axId val="128911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55615"/>
        <c:crosses val="autoZero"/>
        <c:auto val="1"/>
        <c:lblAlgn val="ctr"/>
        <c:lblOffset val="100"/>
        <c:noMultiLvlLbl val="0"/>
      </c:catAx>
      <c:valAx>
        <c:axId val="119195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1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number of cases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6351C1D-BBCB-4A76-9754-AD5287EE73BE}" formatIdx="0"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61911</xdr:colOff>
      <xdr:row>105</xdr:row>
      <xdr:rowOff>176211</xdr:rowOff>
    </xdr:from>
    <xdr:to>
      <xdr:col>6</xdr:col>
      <xdr:colOff>723900</xdr:colOff>
      <xdr:row>121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627B922-B807-4482-8E82-D9AE1C32F5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1636" y="20216811"/>
              <a:ext cx="7100889" cy="2995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723899</xdr:colOff>
      <xdr:row>105</xdr:row>
      <xdr:rowOff>161925</xdr:rowOff>
    </xdr:from>
    <xdr:to>
      <xdr:col>13</xdr:col>
      <xdr:colOff>123825</xdr:colOff>
      <xdr:row>121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E7E43E-2B9E-4F4A-BC84-05BC49F9E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342899</xdr:colOff>
      <xdr:row>3</xdr:row>
      <xdr:rowOff>66675</xdr:rowOff>
    </xdr:from>
    <xdr:to>
      <xdr:col>17</xdr:col>
      <xdr:colOff>104774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72591-5419-4080-B0D2-E2A7A885A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blic Health" refreshedDate="45954.02082766204" createdVersion="6" refreshedVersion="6" minRefreshableVersion="3" recordCount="12" xr:uid="{58E39096-0549-465C-BF3F-6892A2D9E898}">
  <cacheSource type="worksheet">
    <worksheetSource ref="A108:A120" sheet="Sheet3"/>
  </cacheSource>
  <cacheFields count="1">
    <cacheField name="04.10." numFmtId="0">
      <sharedItems count="12">
        <s v="05.10."/>
        <s v="06.10."/>
        <s v="07.10."/>
        <s v="08.10."/>
        <s v="09.10."/>
        <s v="10.10."/>
        <s v="11.10."/>
        <s v="12.10."/>
        <s v="13.10."/>
        <s v="14.10."/>
        <s v="15.10."/>
        <s v="16.10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3CCAE-36FB-4E6E-98E3-4E5A34A60CDF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1"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04.10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452E-3E88-4E20-986D-731A832A01C0}">
  <dimension ref="A3:B16"/>
  <sheetViews>
    <sheetView workbookViewId="0">
      <selection activeCell="F4" sqref="F4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3" spans="1:2" x14ac:dyDescent="0.25">
      <c r="A3" s="27" t="s">
        <v>57</v>
      </c>
      <c r="B3" t="s">
        <v>59</v>
      </c>
    </row>
    <row r="4" spans="1:2" x14ac:dyDescent="0.25">
      <c r="A4" s="28" t="s">
        <v>18</v>
      </c>
      <c r="B4" s="4">
        <v>1</v>
      </c>
    </row>
    <row r="5" spans="1:2" x14ac:dyDescent="0.25">
      <c r="A5" s="28" t="s">
        <v>2</v>
      </c>
      <c r="B5" s="4">
        <v>1</v>
      </c>
    </row>
    <row r="6" spans="1:2" x14ac:dyDescent="0.25">
      <c r="A6" s="28" t="s">
        <v>3</v>
      </c>
      <c r="B6" s="4">
        <v>1</v>
      </c>
    </row>
    <row r="7" spans="1:2" x14ac:dyDescent="0.25">
      <c r="A7" s="28" t="s">
        <v>6</v>
      </c>
      <c r="B7" s="4">
        <v>1</v>
      </c>
    </row>
    <row r="8" spans="1:2" x14ac:dyDescent="0.25">
      <c r="A8" s="28" t="s">
        <v>15</v>
      </c>
      <c r="B8" s="4">
        <v>1</v>
      </c>
    </row>
    <row r="9" spans="1:2" x14ac:dyDescent="0.25">
      <c r="A9" s="28" t="s">
        <v>16</v>
      </c>
      <c r="B9" s="4">
        <v>1</v>
      </c>
    </row>
    <row r="10" spans="1:2" x14ac:dyDescent="0.25">
      <c r="A10" s="28" t="s">
        <v>5</v>
      </c>
      <c r="B10" s="4">
        <v>1</v>
      </c>
    </row>
    <row r="11" spans="1:2" x14ac:dyDescent="0.25">
      <c r="A11" s="28" t="s">
        <v>4</v>
      </c>
      <c r="B11" s="4">
        <v>1</v>
      </c>
    </row>
    <row r="12" spans="1:2" x14ac:dyDescent="0.25">
      <c r="A12" s="28" t="s">
        <v>11</v>
      </c>
      <c r="B12" s="4">
        <v>1</v>
      </c>
    </row>
    <row r="13" spans="1:2" x14ac:dyDescent="0.25">
      <c r="A13" s="28" t="s">
        <v>13</v>
      </c>
      <c r="B13" s="4">
        <v>1</v>
      </c>
    </row>
    <row r="14" spans="1:2" x14ac:dyDescent="0.25">
      <c r="A14" s="28" t="s">
        <v>14</v>
      </c>
      <c r="B14" s="4">
        <v>1</v>
      </c>
    </row>
    <row r="15" spans="1:2" x14ac:dyDescent="0.25">
      <c r="A15" s="28" t="s">
        <v>12</v>
      </c>
      <c r="B15" s="4">
        <v>1</v>
      </c>
    </row>
    <row r="16" spans="1:2" x14ac:dyDescent="0.25">
      <c r="A16" s="28" t="s">
        <v>58</v>
      </c>
      <c r="B16" s="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6"/>
  <sheetViews>
    <sheetView tabSelected="1" topLeftCell="A92" workbookViewId="0">
      <selection activeCell="I103" sqref="I103"/>
    </sheetView>
  </sheetViews>
  <sheetFormatPr defaultRowHeight="15" x14ac:dyDescent="0.25"/>
  <cols>
    <col min="1" max="1" width="15" customWidth="1"/>
    <col min="3" max="3" width="19.5703125" customWidth="1"/>
    <col min="4" max="4" width="14.42578125" customWidth="1"/>
    <col min="5" max="5" width="40" style="2" customWidth="1"/>
    <col min="6" max="6" width="22.5703125" style="2" bestFit="1" customWidth="1"/>
    <col min="7" max="7" width="14.85546875" customWidth="1"/>
    <col min="9" max="9" width="11.140625" bestFit="1" customWidth="1"/>
    <col min="10" max="10" width="11" bestFit="1" customWidth="1"/>
    <col min="11" max="11" width="17.140625" bestFit="1" customWidth="1"/>
  </cols>
  <sheetData>
    <row r="1" spans="1:11" ht="15.75" x14ac:dyDescent="0.25">
      <c r="A1" t="s">
        <v>19</v>
      </c>
      <c r="B1" t="s">
        <v>29</v>
      </c>
      <c r="C1" t="s">
        <v>28</v>
      </c>
      <c r="D1" t="s">
        <v>27</v>
      </c>
      <c r="E1" s="2" t="s">
        <v>26</v>
      </c>
      <c r="F1" s="2" t="s">
        <v>25</v>
      </c>
      <c r="G1" t="s">
        <v>24</v>
      </c>
      <c r="H1" t="s">
        <v>20</v>
      </c>
      <c r="I1" t="s">
        <v>21</v>
      </c>
      <c r="J1" s="1" t="s">
        <v>22</v>
      </c>
      <c r="K1" t="s">
        <v>23</v>
      </c>
    </row>
    <row r="2" spans="1:11" hidden="1" x14ac:dyDescent="0.25">
      <c r="A2">
        <v>1</v>
      </c>
      <c r="B2">
        <v>5</v>
      </c>
      <c r="C2" t="s">
        <v>36</v>
      </c>
      <c r="D2" t="s">
        <v>35</v>
      </c>
      <c r="E2" s="2">
        <v>6.1</v>
      </c>
      <c r="F2" s="2">
        <v>6.1</v>
      </c>
      <c r="G2" t="s">
        <v>33</v>
      </c>
      <c r="H2" t="s">
        <v>30</v>
      </c>
      <c r="I2" t="s">
        <v>30</v>
      </c>
      <c r="J2" t="s">
        <v>30</v>
      </c>
      <c r="K2" t="s">
        <v>31</v>
      </c>
    </row>
    <row r="3" spans="1:11" hidden="1" x14ac:dyDescent="0.25">
      <c r="A3">
        <v>2</v>
      </c>
      <c r="B3">
        <v>2</v>
      </c>
      <c r="C3" t="s">
        <v>36</v>
      </c>
      <c r="D3" t="s">
        <v>35</v>
      </c>
      <c r="E3" s="2" t="s">
        <v>2</v>
      </c>
      <c r="F3" s="2" t="s">
        <v>2</v>
      </c>
      <c r="G3" t="s">
        <v>33</v>
      </c>
      <c r="H3" t="s">
        <v>30</v>
      </c>
      <c r="I3" t="s">
        <v>30</v>
      </c>
      <c r="J3" t="s">
        <v>30</v>
      </c>
      <c r="K3" t="s">
        <v>31</v>
      </c>
    </row>
    <row r="4" spans="1:11" hidden="1" x14ac:dyDescent="0.25">
      <c r="A4">
        <v>3</v>
      </c>
      <c r="B4">
        <v>3</v>
      </c>
      <c r="C4" t="s">
        <v>36</v>
      </c>
      <c r="D4" t="s">
        <v>35</v>
      </c>
      <c r="E4" s="2" t="s">
        <v>2</v>
      </c>
      <c r="F4" s="2" t="s">
        <v>2</v>
      </c>
      <c r="G4" t="s">
        <v>33</v>
      </c>
      <c r="H4" t="s">
        <v>30</v>
      </c>
      <c r="I4" t="s">
        <v>31</v>
      </c>
      <c r="J4" t="s">
        <v>30</v>
      </c>
      <c r="K4" t="s">
        <v>31</v>
      </c>
    </row>
    <row r="5" spans="1:11" hidden="1" x14ac:dyDescent="0.25">
      <c r="A5">
        <v>4</v>
      </c>
      <c r="B5">
        <v>5</v>
      </c>
      <c r="C5" t="s">
        <v>36</v>
      </c>
      <c r="D5" t="s">
        <v>35</v>
      </c>
      <c r="E5" s="2" t="s">
        <v>2</v>
      </c>
      <c r="F5" s="2" t="s">
        <v>2</v>
      </c>
      <c r="G5" t="s">
        <v>33</v>
      </c>
      <c r="H5" t="s">
        <v>30</v>
      </c>
      <c r="I5" t="s">
        <v>31</v>
      </c>
      <c r="J5" t="s">
        <v>30</v>
      </c>
      <c r="K5" t="s">
        <v>31</v>
      </c>
    </row>
    <row r="6" spans="1:11" hidden="1" x14ac:dyDescent="0.25">
      <c r="A6">
        <v>5</v>
      </c>
      <c r="B6">
        <v>5</v>
      </c>
      <c r="C6" t="s">
        <v>36</v>
      </c>
      <c r="D6" t="s">
        <v>35</v>
      </c>
      <c r="E6" s="2" t="s">
        <v>5</v>
      </c>
      <c r="F6" s="2" t="s">
        <v>5</v>
      </c>
      <c r="G6" t="s">
        <v>33</v>
      </c>
      <c r="H6" t="s">
        <v>30</v>
      </c>
      <c r="I6" t="s">
        <v>31</v>
      </c>
      <c r="J6" t="s">
        <v>30</v>
      </c>
      <c r="K6" t="s">
        <v>31</v>
      </c>
    </row>
    <row r="7" spans="1:11" hidden="1" x14ac:dyDescent="0.25">
      <c r="A7">
        <v>6</v>
      </c>
      <c r="B7">
        <v>5</v>
      </c>
      <c r="C7" t="s">
        <v>36</v>
      </c>
      <c r="D7" t="s">
        <v>35</v>
      </c>
      <c r="E7" s="2" t="s">
        <v>5</v>
      </c>
      <c r="F7" s="2" t="s">
        <v>5</v>
      </c>
      <c r="G7" t="s">
        <v>33</v>
      </c>
      <c r="H7" t="s">
        <v>30</v>
      </c>
      <c r="I7" t="s">
        <v>31</v>
      </c>
      <c r="J7" t="s">
        <v>30</v>
      </c>
      <c r="K7" t="s">
        <v>31</v>
      </c>
    </row>
    <row r="8" spans="1:11" hidden="1" x14ac:dyDescent="0.25">
      <c r="A8">
        <v>7</v>
      </c>
      <c r="B8">
        <v>5</v>
      </c>
      <c r="C8" t="s">
        <v>36</v>
      </c>
      <c r="D8" t="s">
        <v>35</v>
      </c>
      <c r="E8" s="2" t="s">
        <v>5</v>
      </c>
      <c r="F8" s="2" t="s">
        <v>5</v>
      </c>
      <c r="G8" t="s">
        <v>33</v>
      </c>
      <c r="H8" t="s">
        <v>30</v>
      </c>
      <c r="I8" t="s">
        <v>31</v>
      </c>
      <c r="J8" t="s">
        <v>30</v>
      </c>
      <c r="K8" t="s">
        <v>31</v>
      </c>
    </row>
    <row r="9" spans="1:11" hidden="1" x14ac:dyDescent="0.25">
      <c r="A9">
        <v>8</v>
      </c>
      <c r="B9">
        <v>4</v>
      </c>
      <c r="C9" t="s">
        <v>36</v>
      </c>
      <c r="D9" t="s">
        <v>35</v>
      </c>
      <c r="E9" s="2" t="s">
        <v>2</v>
      </c>
      <c r="F9" s="2" t="s">
        <v>2</v>
      </c>
      <c r="G9" t="s">
        <v>33</v>
      </c>
      <c r="H9" t="s">
        <v>30</v>
      </c>
      <c r="I9" t="s">
        <v>31</v>
      </c>
      <c r="J9" t="s">
        <v>30</v>
      </c>
      <c r="K9" t="s">
        <v>31</v>
      </c>
    </row>
    <row r="10" spans="1:11" hidden="1" x14ac:dyDescent="0.25">
      <c r="A10">
        <v>9</v>
      </c>
      <c r="B10">
        <v>2</v>
      </c>
      <c r="C10" t="s">
        <v>36</v>
      </c>
      <c r="D10" t="s">
        <v>1</v>
      </c>
      <c r="E10" s="2" t="s">
        <v>2</v>
      </c>
      <c r="F10" s="2" t="s">
        <v>2</v>
      </c>
      <c r="G10" t="s">
        <v>33</v>
      </c>
      <c r="H10" t="s">
        <v>30</v>
      </c>
      <c r="I10" t="s">
        <v>31</v>
      </c>
      <c r="J10" t="s">
        <v>30</v>
      </c>
      <c r="K10" t="s">
        <v>31</v>
      </c>
    </row>
    <row r="11" spans="1:11" hidden="1" x14ac:dyDescent="0.25">
      <c r="A11">
        <v>10</v>
      </c>
      <c r="B11">
        <v>4</v>
      </c>
      <c r="C11" t="s">
        <v>36</v>
      </c>
      <c r="D11" t="s">
        <v>1</v>
      </c>
      <c r="E11" s="2" t="s">
        <v>2</v>
      </c>
      <c r="F11" s="2" t="s">
        <v>2</v>
      </c>
      <c r="G11" t="s">
        <v>33</v>
      </c>
      <c r="H11" t="s">
        <v>30</v>
      </c>
      <c r="I11" t="s">
        <v>31</v>
      </c>
      <c r="J11" t="s">
        <v>30</v>
      </c>
      <c r="K11" t="s">
        <v>31</v>
      </c>
    </row>
    <row r="12" spans="1:11" hidden="1" x14ac:dyDescent="0.25">
      <c r="A12">
        <v>11</v>
      </c>
      <c r="B12">
        <v>5</v>
      </c>
      <c r="C12" t="s">
        <v>36</v>
      </c>
      <c r="D12" t="s">
        <v>35</v>
      </c>
      <c r="E12" s="2" t="s">
        <v>2</v>
      </c>
      <c r="F12" s="2" t="s">
        <v>2</v>
      </c>
      <c r="G12" t="s">
        <v>33</v>
      </c>
      <c r="H12" t="s">
        <v>30</v>
      </c>
      <c r="I12" t="s">
        <v>31</v>
      </c>
      <c r="J12" t="s">
        <v>30</v>
      </c>
      <c r="K12" t="s">
        <v>31</v>
      </c>
    </row>
    <row r="13" spans="1:11" x14ac:dyDescent="0.25">
      <c r="A13">
        <v>12</v>
      </c>
      <c r="B13">
        <v>4</v>
      </c>
      <c r="C13" t="s">
        <v>36</v>
      </c>
      <c r="D13" t="s">
        <v>35</v>
      </c>
      <c r="E13" s="2" t="s">
        <v>2</v>
      </c>
      <c r="F13" s="2" t="s">
        <v>2</v>
      </c>
      <c r="G13" t="s">
        <v>33</v>
      </c>
      <c r="H13" t="s">
        <v>30</v>
      </c>
      <c r="I13" t="s">
        <v>31</v>
      </c>
      <c r="J13" t="s">
        <v>30</v>
      </c>
      <c r="K13" t="s">
        <v>30</v>
      </c>
    </row>
    <row r="14" spans="1:11" x14ac:dyDescent="0.25">
      <c r="A14">
        <v>13</v>
      </c>
      <c r="B14">
        <v>4</v>
      </c>
      <c r="C14" t="s">
        <v>36</v>
      </c>
      <c r="D14" t="s">
        <v>35</v>
      </c>
      <c r="E14" s="2" t="s">
        <v>2</v>
      </c>
      <c r="F14" s="2" t="s">
        <v>2</v>
      </c>
      <c r="G14" t="s">
        <v>33</v>
      </c>
      <c r="H14" t="s">
        <v>30</v>
      </c>
      <c r="I14" t="s">
        <v>31</v>
      </c>
      <c r="J14" t="s">
        <v>30</v>
      </c>
      <c r="K14" t="s">
        <v>30</v>
      </c>
    </row>
    <row r="15" spans="1:11" x14ac:dyDescent="0.25">
      <c r="A15">
        <v>14</v>
      </c>
      <c r="B15">
        <v>5</v>
      </c>
      <c r="C15" t="s">
        <v>36</v>
      </c>
      <c r="D15" t="s">
        <v>35</v>
      </c>
      <c r="E15" s="2" t="s">
        <v>2</v>
      </c>
      <c r="F15" s="2" t="s">
        <v>2</v>
      </c>
      <c r="G15" t="s">
        <v>33</v>
      </c>
      <c r="H15" t="s">
        <v>30</v>
      </c>
      <c r="I15" t="s">
        <v>31</v>
      </c>
      <c r="J15" t="s">
        <v>30</v>
      </c>
      <c r="K15" t="s">
        <v>30</v>
      </c>
    </row>
    <row r="16" spans="1:11" x14ac:dyDescent="0.25">
      <c r="A16">
        <v>15</v>
      </c>
      <c r="B16">
        <v>5</v>
      </c>
      <c r="C16" t="s">
        <v>36</v>
      </c>
      <c r="D16" t="s">
        <v>35</v>
      </c>
      <c r="E16" s="2" t="s">
        <v>2</v>
      </c>
      <c r="F16" s="2" t="s">
        <v>2</v>
      </c>
      <c r="G16" t="s">
        <v>33</v>
      </c>
      <c r="H16" t="s">
        <v>30</v>
      </c>
      <c r="I16" t="s">
        <v>31</v>
      </c>
      <c r="J16" t="s">
        <v>30</v>
      </c>
      <c r="K16" t="s">
        <v>30</v>
      </c>
    </row>
    <row r="17" spans="1:11" x14ac:dyDescent="0.25">
      <c r="A17">
        <v>16</v>
      </c>
      <c r="B17">
        <v>5</v>
      </c>
      <c r="C17" t="s">
        <v>36</v>
      </c>
      <c r="D17" t="s">
        <v>35</v>
      </c>
      <c r="E17" s="2" t="s">
        <v>2</v>
      </c>
      <c r="F17" s="2" t="s">
        <v>2</v>
      </c>
      <c r="G17" t="s">
        <v>33</v>
      </c>
      <c r="H17" t="s">
        <v>30</v>
      </c>
      <c r="I17" t="s">
        <v>31</v>
      </c>
      <c r="J17" t="s">
        <v>30</v>
      </c>
      <c r="K17" t="s">
        <v>30</v>
      </c>
    </row>
    <row r="18" spans="1:11" x14ac:dyDescent="0.25">
      <c r="A18">
        <v>17</v>
      </c>
      <c r="B18">
        <v>4</v>
      </c>
      <c r="C18" t="s">
        <v>36</v>
      </c>
      <c r="D18" t="s">
        <v>35</v>
      </c>
      <c r="E18" s="2" t="s">
        <v>2</v>
      </c>
      <c r="F18" s="2" t="s">
        <v>2</v>
      </c>
      <c r="G18" t="s">
        <v>33</v>
      </c>
      <c r="H18" t="s">
        <v>30</v>
      </c>
      <c r="I18" t="s">
        <v>31</v>
      </c>
      <c r="J18" t="s">
        <v>30</v>
      </c>
      <c r="K18" t="s">
        <v>30</v>
      </c>
    </row>
    <row r="19" spans="1:11" x14ac:dyDescent="0.25">
      <c r="A19">
        <v>18</v>
      </c>
      <c r="B19">
        <v>4</v>
      </c>
      <c r="C19" t="s">
        <v>36</v>
      </c>
      <c r="D19" t="s">
        <v>35</v>
      </c>
      <c r="E19" s="2" t="s">
        <v>2</v>
      </c>
      <c r="F19" s="2" t="s">
        <v>2</v>
      </c>
      <c r="G19" t="s">
        <v>33</v>
      </c>
      <c r="H19" t="s">
        <v>30</v>
      </c>
      <c r="I19" t="s">
        <v>31</v>
      </c>
      <c r="J19" t="s">
        <v>30</v>
      </c>
      <c r="K19" t="s">
        <v>30</v>
      </c>
    </row>
    <row r="20" spans="1:11" x14ac:dyDescent="0.25">
      <c r="A20">
        <v>19</v>
      </c>
      <c r="B20">
        <v>5</v>
      </c>
      <c r="C20" t="s">
        <v>36</v>
      </c>
      <c r="D20" t="s">
        <v>35</v>
      </c>
      <c r="E20" s="2" t="s">
        <v>2</v>
      </c>
      <c r="F20" s="2" t="s">
        <v>2</v>
      </c>
      <c r="G20" t="s">
        <v>33</v>
      </c>
      <c r="H20" t="s">
        <v>30</v>
      </c>
      <c r="I20" t="s">
        <v>31</v>
      </c>
      <c r="J20" t="s">
        <v>30</v>
      </c>
      <c r="K20" t="s">
        <v>30</v>
      </c>
    </row>
    <row r="21" spans="1:11" x14ac:dyDescent="0.25">
      <c r="A21">
        <v>20</v>
      </c>
      <c r="B21">
        <v>5</v>
      </c>
      <c r="C21" t="s">
        <v>36</v>
      </c>
      <c r="D21" t="s">
        <v>35</v>
      </c>
      <c r="E21" s="2" t="s">
        <v>2</v>
      </c>
      <c r="F21" s="2" t="s">
        <v>2</v>
      </c>
      <c r="G21" t="s">
        <v>33</v>
      </c>
      <c r="H21" t="s">
        <v>30</v>
      </c>
      <c r="I21" t="s">
        <v>31</v>
      </c>
      <c r="J21" t="s">
        <v>30</v>
      </c>
      <c r="K21" t="s">
        <v>30</v>
      </c>
    </row>
    <row r="22" spans="1:11" x14ac:dyDescent="0.25">
      <c r="A22">
        <v>21</v>
      </c>
      <c r="B22">
        <v>5</v>
      </c>
      <c r="C22" t="s">
        <v>36</v>
      </c>
      <c r="D22" t="s">
        <v>35</v>
      </c>
      <c r="E22" s="2" t="s">
        <v>2</v>
      </c>
      <c r="F22" s="2" t="s">
        <v>2</v>
      </c>
      <c r="G22" t="s">
        <v>33</v>
      </c>
      <c r="H22" t="s">
        <v>30</v>
      </c>
      <c r="I22" t="s">
        <v>31</v>
      </c>
      <c r="J22" t="s">
        <v>30</v>
      </c>
      <c r="K22" t="s">
        <v>30</v>
      </c>
    </row>
    <row r="23" spans="1:11" x14ac:dyDescent="0.25">
      <c r="A23">
        <v>22</v>
      </c>
      <c r="B23">
        <v>4</v>
      </c>
      <c r="C23" t="s">
        <v>36</v>
      </c>
      <c r="D23" t="s">
        <v>35</v>
      </c>
      <c r="E23" s="2" t="s">
        <v>2</v>
      </c>
      <c r="F23" s="2" t="s">
        <v>2</v>
      </c>
      <c r="G23" t="s">
        <v>32</v>
      </c>
      <c r="H23" t="s">
        <v>31</v>
      </c>
      <c r="I23" t="s">
        <v>30</v>
      </c>
      <c r="J23" t="s">
        <v>30</v>
      </c>
      <c r="K23" t="s">
        <v>30</v>
      </c>
    </row>
    <row r="24" spans="1:11" x14ac:dyDescent="0.25">
      <c r="A24">
        <v>23</v>
      </c>
      <c r="B24">
        <v>4</v>
      </c>
      <c r="C24" t="s">
        <v>38</v>
      </c>
      <c r="D24" t="s">
        <v>35</v>
      </c>
      <c r="F24" s="2" t="s">
        <v>5</v>
      </c>
      <c r="H24" t="s">
        <v>30</v>
      </c>
      <c r="I24" t="s">
        <v>31</v>
      </c>
      <c r="J24" t="s">
        <v>30</v>
      </c>
      <c r="K24" t="s">
        <v>30</v>
      </c>
    </row>
    <row r="25" spans="1:11" x14ac:dyDescent="0.25">
      <c r="A25">
        <v>24</v>
      </c>
      <c r="B25">
        <v>4</v>
      </c>
      <c r="C25" t="s">
        <v>38</v>
      </c>
      <c r="D25" t="s">
        <v>35</v>
      </c>
      <c r="F25" s="2" t="s">
        <v>5</v>
      </c>
      <c r="H25" t="s">
        <v>31</v>
      </c>
      <c r="I25" t="s">
        <v>30</v>
      </c>
      <c r="J25" t="s">
        <v>30</v>
      </c>
      <c r="K25" t="s">
        <v>30</v>
      </c>
    </row>
    <row r="26" spans="1:11" x14ac:dyDescent="0.25">
      <c r="A26">
        <v>25</v>
      </c>
      <c r="B26">
        <v>3</v>
      </c>
      <c r="C26" t="s">
        <v>38</v>
      </c>
      <c r="D26" t="s">
        <v>35</v>
      </c>
      <c r="F26" s="2" t="s">
        <v>4</v>
      </c>
      <c r="H26" t="s">
        <v>31</v>
      </c>
      <c r="I26" t="s">
        <v>30</v>
      </c>
      <c r="J26" t="s">
        <v>30</v>
      </c>
      <c r="K26" t="s">
        <v>30</v>
      </c>
    </row>
    <row r="27" spans="1:11" x14ac:dyDescent="0.25">
      <c r="A27">
        <v>26</v>
      </c>
      <c r="B27">
        <v>4</v>
      </c>
      <c r="C27" t="s">
        <v>38</v>
      </c>
      <c r="D27" t="s">
        <v>35</v>
      </c>
      <c r="F27" s="2" t="s">
        <v>5</v>
      </c>
      <c r="H27" t="s">
        <v>30</v>
      </c>
      <c r="I27" t="s">
        <v>31</v>
      </c>
      <c r="J27" t="s">
        <v>30</v>
      </c>
      <c r="K27" t="s">
        <v>30</v>
      </c>
    </row>
    <row r="28" spans="1:11" x14ac:dyDescent="0.25">
      <c r="A28">
        <v>27</v>
      </c>
      <c r="B28">
        <v>2</v>
      </c>
      <c r="C28" t="s">
        <v>38</v>
      </c>
      <c r="D28" t="s">
        <v>35</v>
      </c>
      <c r="F28" s="2" t="s">
        <v>4</v>
      </c>
      <c r="H28" t="s">
        <v>30</v>
      </c>
      <c r="I28" t="s">
        <v>30</v>
      </c>
      <c r="J28" t="s">
        <v>30</v>
      </c>
      <c r="K28" t="s">
        <v>30</v>
      </c>
    </row>
    <row r="29" spans="1:11" x14ac:dyDescent="0.25">
      <c r="A29">
        <v>28</v>
      </c>
      <c r="B29">
        <v>3</v>
      </c>
      <c r="C29" t="s">
        <v>38</v>
      </c>
      <c r="D29" t="s">
        <v>35</v>
      </c>
      <c r="F29" s="2" t="s">
        <v>2</v>
      </c>
      <c r="H29" t="s">
        <v>31</v>
      </c>
      <c r="I29" t="s">
        <v>31</v>
      </c>
      <c r="J29" t="s">
        <v>30</v>
      </c>
      <c r="K29" t="s">
        <v>30</v>
      </c>
    </row>
    <row r="30" spans="1:11" x14ac:dyDescent="0.25">
      <c r="A30">
        <v>29</v>
      </c>
      <c r="B30">
        <v>3</v>
      </c>
      <c r="C30" t="s">
        <v>38</v>
      </c>
      <c r="D30" t="s">
        <v>35</v>
      </c>
      <c r="F30" s="2" t="s">
        <v>3</v>
      </c>
      <c r="H30" t="s">
        <v>31</v>
      </c>
      <c r="I30" t="s">
        <v>31</v>
      </c>
      <c r="J30" t="s">
        <v>30</v>
      </c>
      <c r="K30" t="s">
        <v>30</v>
      </c>
    </row>
    <row r="31" spans="1:11" x14ac:dyDescent="0.25">
      <c r="A31">
        <v>30</v>
      </c>
      <c r="B31">
        <v>4</v>
      </c>
      <c r="C31" t="s">
        <v>38</v>
      </c>
      <c r="D31" t="s">
        <v>35</v>
      </c>
      <c r="F31" s="2" t="s">
        <v>6</v>
      </c>
      <c r="H31" t="s">
        <v>30</v>
      </c>
      <c r="I31" t="s">
        <v>31</v>
      </c>
      <c r="J31" t="s">
        <v>30</v>
      </c>
      <c r="K31" t="s">
        <v>30</v>
      </c>
    </row>
    <row r="32" spans="1:11" x14ac:dyDescent="0.25">
      <c r="A32">
        <v>31</v>
      </c>
      <c r="B32">
        <v>2</v>
      </c>
      <c r="C32" t="s">
        <v>38</v>
      </c>
      <c r="D32" t="s">
        <v>35</v>
      </c>
      <c r="F32" s="2" t="s">
        <v>5</v>
      </c>
      <c r="G32" t="s">
        <v>7</v>
      </c>
      <c r="H32" t="s">
        <v>31</v>
      </c>
      <c r="I32" t="s">
        <v>31</v>
      </c>
      <c r="J32" t="s">
        <v>30</v>
      </c>
      <c r="K32" t="s">
        <v>30</v>
      </c>
    </row>
    <row r="33" spans="1:11" x14ac:dyDescent="0.25">
      <c r="A33">
        <v>32</v>
      </c>
      <c r="B33">
        <v>5</v>
      </c>
      <c r="C33" t="s">
        <v>38</v>
      </c>
      <c r="D33" t="s">
        <v>35</v>
      </c>
      <c r="F33" s="2" t="s">
        <v>5</v>
      </c>
      <c r="G33" t="s">
        <v>8</v>
      </c>
      <c r="H33" t="s">
        <v>30</v>
      </c>
      <c r="I33" t="s">
        <v>31</v>
      </c>
      <c r="J33" t="s">
        <v>30</v>
      </c>
      <c r="K33" t="s">
        <v>30</v>
      </c>
    </row>
    <row r="34" spans="1:11" hidden="1" x14ac:dyDescent="0.25">
      <c r="A34">
        <v>33</v>
      </c>
      <c r="B34">
        <v>3</v>
      </c>
      <c r="C34" t="s">
        <v>38</v>
      </c>
      <c r="D34" t="s">
        <v>35</v>
      </c>
      <c r="F34" s="2" t="s">
        <v>5</v>
      </c>
      <c r="H34" t="s">
        <v>31</v>
      </c>
      <c r="I34" t="s">
        <v>31</v>
      </c>
      <c r="J34" t="s">
        <v>30</v>
      </c>
      <c r="K34" t="s">
        <v>31</v>
      </c>
    </row>
    <row r="35" spans="1:11" hidden="1" x14ac:dyDescent="0.25">
      <c r="A35">
        <v>34</v>
      </c>
      <c r="B35">
        <v>3</v>
      </c>
      <c r="C35" t="s">
        <v>38</v>
      </c>
      <c r="D35" t="s">
        <v>35</v>
      </c>
      <c r="F35" s="2" t="s">
        <v>4</v>
      </c>
      <c r="G35" t="s">
        <v>9</v>
      </c>
      <c r="H35" t="s">
        <v>30</v>
      </c>
      <c r="I35" t="s">
        <v>31</v>
      </c>
      <c r="J35" t="s">
        <v>30</v>
      </c>
      <c r="K35" t="s">
        <v>31</v>
      </c>
    </row>
    <row r="36" spans="1:11" hidden="1" x14ac:dyDescent="0.25">
      <c r="A36">
        <v>35</v>
      </c>
      <c r="B36">
        <v>3</v>
      </c>
      <c r="C36" t="s">
        <v>38</v>
      </c>
      <c r="D36" t="s">
        <v>35</v>
      </c>
      <c r="F36" s="2" t="s">
        <v>4</v>
      </c>
      <c r="G36" t="s">
        <v>10</v>
      </c>
      <c r="H36" t="s">
        <v>31</v>
      </c>
      <c r="I36" t="s">
        <v>31</v>
      </c>
      <c r="J36" t="s">
        <v>30</v>
      </c>
      <c r="K36" t="s">
        <v>31</v>
      </c>
    </row>
    <row r="37" spans="1:11" hidden="1" x14ac:dyDescent="0.25">
      <c r="A37">
        <v>36</v>
      </c>
      <c r="B37">
        <v>2</v>
      </c>
      <c r="C37" t="s">
        <v>38</v>
      </c>
      <c r="D37" t="s">
        <v>35</v>
      </c>
      <c r="E37" s="2" t="s">
        <v>4</v>
      </c>
      <c r="F37" s="2" t="s">
        <v>4</v>
      </c>
      <c r="G37" t="s">
        <v>33</v>
      </c>
      <c r="H37" t="s">
        <v>30</v>
      </c>
      <c r="I37" t="s">
        <v>31</v>
      </c>
      <c r="J37" t="s">
        <v>30</v>
      </c>
      <c r="K37" t="s">
        <v>31</v>
      </c>
    </row>
    <row r="38" spans="1:11" hidden="1" x14ac:dyDescent="0.25">
      <c r="A38">
        <v>37</v>
      </c>
      <c r="B38">
        <v>4</v>
      </c>
      <c r="C38" t="s">
        <v>38</v>
      </c>
      <c r="D38" t="s">
        <v>35</v>
      </c>
      <c r="E38" s="2" t="s">
        <v>11</v>
      </c>
      <c r="F38" s="2" t="s">
        <v>11</v>
      </c>
      <c r="H38" t="s">
        <v>30</v>
      </c>
      <c r="I38" t="s">
        <v>31</v>
      </c>
      <c r="J38" t="s">
        <v>30</v>
      </c>
      <c r="K38" t="s">
        <v>31</v>
      </c>
    </row>
    <row r="39" spans="1:11" hidden="1" x14ac:dyDescent="0.25">
      <c r="A39">
        <v>38</v>
      </c>
      <c r="B39">
        <v>3</v>
      </c>
      <c r="C39" t="s">
        <v>38</v>
      </c>
      <c r="D39" t="s">
        <v>35</v>
      </c>
      <c r="E39" s="2" t="s">
        <v>4</v>
      </c>
      <c r="F39" s="2" t="s">
        <v>12</v>
      </c>
      <c r="G39" t="s">
        <v>32</v>
      </c>
      <c r="H39" t="s">
        <v>31</v>
      </c>
      <c r="I39" t="s">
        <v>31</v>
      </c>
      <c r="J39" t="s">
        <v>30</v>
      </c>
      <c r="K39" t="s">
        <v>31</v>
      </c>
    </row>
    <row r="40" spans="1:11" hidden="1" x14ac:dyDescent="0.25">
      <c r="A40">
        <v>39</v>
      </c>
      <c r="B40">
        <v>3</v>
      </c>
      <c r="C40" t="s">
        <v>38</v>
      </c>
      <c r="D40" t="s">
        <v>35</v>
      </c>
      <c r="E40" s="2" t="s">
        <v>4</v>
      </c>
      <c r="F40" s="2" t="s">
        <v>11</v>
      </c>
      <c r="H40" t="s">
        <v>30</v>
      </c>
      <c r="I40" t="s">
        <v>30</v>
      </c>
      <c r="J40" t="s">
        <v>30</v>
      </c>
      <c r="K40" t="s">
        <v>31</v>
      </c>
    </row>
    <row r="41" spans="1:11" x14ac:dyDescent="0.25">
      <c r="A41">
        <v>40</v>
      </c>
      <c r="B41">
        <v>5</v>
      </c>
      <c r="C41" t="s">
        <v>38</v>
      </c>
      <c r="D41" t="s">
        <v>35</v>
      </c>
      <c r="E41" s="2" t="s">
        <v>4</v>
      </c>
      <c r="F41" s="2" t="s">
        <v>4</v>
      </c>
      <c r="G41" t="s">
        <v>33</v>
      </c>
      <c r="H41" t="s">
        <v>30</v>
      </c>
      <c r="I41" t="s">
        <v>31</v>
      </c>
      <c r="J41" t="s">
        <v>30</v>
      </c>
      <c r="K41" t="s">
        <v>30</v>
      </c>
    </row>
    <row r="42" spans="1:11" x14ac:dyDescent="0.25">
      <c r="A42">
        <v>41</v>
      </c>
      <c r="B42">
        <v>4</v>
      </c>
      <c r="C42" t="s">
        <v>38</v>
      </c>
      <c r="D42" t="s">
        <v>35</v>
      </c>
      <c r="E42" s="2" t="s">
        <v>4</v>
      </c>
      <c r="F42" s="2" t="s">
        <v>4</v>
      </c>
      <c r="H42" t="s">
        <v>30</v>
      </c>
      <c r="I42" t="s">
        <v>31</v>
      </c>
      <c r="J42" t="s">
        <v>30</v>
      </c>
      <c r="K42" t="s">
        <v>30</v>
      </c>
    </row>
    <row r="43" spans="1:11" x14ac:dyDescent="0.25">
      <c r="A43">
        <v>42</v>
      </c>
      <c r="B43">
        <v>2</v>
      </c>
      <c r="C43" t="s">
        <v>38</v>
      </c>
      <c r="D43" t="s">
        <v>35</v>
      </c>
      <c r="E43" s="2" t="s">
        <v>11</v>
      </c>
      <c r="F43" s="2" t="s">
        <v>11</v>
      </c>
      <c r="G43" t="s">
        <v>33</v>
      </c>
      <c r="H43" t="s">
        <v>30</v>
      </c>
      <c r="I43" t="s">
        <v>31</v>
      </c>
      <c r="J43" t="s">
        <v>30</v>
      </c>
      <c r="K43" t="s">
        <v>30</v>
      </c>
    </row>
    <row r="44" spans="1:11" x14ac:dyDescent="0.25">
      <c r="A44">
        <v>43</v>
      </c>
      <c r="B44">
        <v>3</v>
      </c>
      <c r="C44" t="s">
        <v>38</v>
      </c>
      <c r="D44" t="s">
        <v>35</v>
      </c>
      <c r="E44" s="2" t="s">
        <v>11</v>
      </c>
      <c r="F44" s="2" t="s">
        <v>13</v>
      </c>
      <c r="G44" t="s">
        <v>34</v>
      </c>
      <c r="H44" t="s">
        <v>30</v>
      </c>
      <c r="I44" t="s">
        <v>31</v>
      </c>
      <c r="J44" t="s">
        <v>30</v>
      </c>
      <c r="K44" t="s">
        <v>30</v>
      </c>
    </row>
    <row r="45" spans="1:11" x14ac:dyDescent="0.25">
      <c r="A45">
        <v>44</v>
      </c>
      <c r="B45">
        <v>3</v>
      </c>
      <c r="C45" t="s">
        <v>38</v>
      </c>
      <c r="D45" t="s">
        <v>35</v>
      </c>
      <c r="E45" s="2" t="s">
        <v>11</v>
      </c>
      <c r="F45" s="2" t="s">
        <v>14</v>
      </c>
      <c r="G45" t="s">
        <v>33</v>
      </c>
      <c r="H45" t="s">
        <v>31</v>
      </c>
      <c r="I45" t="s">
        <v>30</v>
      </c>
      <c r="J45" t="s">
        <v>30</v>
      </c>
      <c r="K45" t="s">
        <v>30</v>
      </c>
    </row>
    <row r="46" spans="1:11" x14ac:dyDescent="0.25">
      <c r="A46">
        <v>45</v>
      </c>
      <c r="B46">
        <v>5</v>
      </c>
      <c r="C46" t="s">
        <v>38</v>
      </c>
      <c r="D46" t="s">
        <v>35</v>
      </c>
      <c r="E46" s="2" t="s">
        <v>11</v>
      </c>
      <c r="F46" s="2" t="s">
        <v>14</v>
      </c>
      <c r="H46" t="s">
        <v>30</v>
      </c>
      <c r="I46" t="s">
        <v>30</v>
      </c>
      <c r="J46" t="s">
        <v>30</v>
      </c>
      <c r="K46" t="s">
        <v>30</v>
      </c>
    </row>
    <row r="47" spans="1:11" x14ac:dyDescent="0.25">
      <c r="A47">
        <v>46</v>
      </c>
      <c r="B47">
        <v>2</v>
      </c>
      <c r="C47">
        <v>1</v>
      </c>
      <c r="D47" t="s">
        <v>0</v>
      </c>
      <c r="E47" s="2" t="s">
        <v>5</v>
      </c>
      <c r="F47" s="2" t="s">
        <v>5</v>
      </c>
      <c r="G47" t="s">
        <v>32</v>
      </c>
      <c r="H47" t="s">
        <v>31</v>
      </c>
      <c r="I47" t="s">
        <v>31</v>
      </c>
      <c r="J47" t="s">
        <v>30</v>
      </c>
      <c r="K47" t="s">
        <v>30</v>
      </c>
    </row>
    <row r="48" spans="1:11" x14ac:dyDescent="0.25">
      <c r="A48">
        <v>47</v>
      </c>
      <c r="B48">
        <v>4</v>
      </c>
      <c r="C48">
        <v>1</v>
      </c>
      <c r="D48" t="s">
        <v>0</v>
      </c>
      <c r="F48" s="2" t="s">
        <v>11</v>
      </c>
      <c r="H48" t="s">
        <v>31</v>
      </c>
      <c r="I48" t="s">
        <v>31</v>
      </c>
      <c r="J48" t="s">
        <v>30</v>
      </c>
      <c r="K48" t="s">
        <v>30</v>
      </c>
    </row>
    <row r="49" spans="1:11" x14ac:dyDescent="0.25">
      <c r="A49">
        <v>48</v>
      </c>
      <c r="B49">
        <v>2</v>
      </c>
      <c r="C49">
        <v>1</v>
      </c>
      <c r="D49" t="s">
        <v>35</v>
      </c>
      <c r="F49" s="2" t="s">
        <v>2</v>
      </c>
      <c r="H49" t="s">
        <v>30</v>
      </c>
      <c r="I49" t="s">
        <v>30</v>
      </c>
      <c r="J49" t="s">
        <v>30</v>
      </c>
      <c r="K49" t="s">
        <v>30</v>
      </c>
    </row>
    <row r="50" spans="1:11" x14ac:dyDescent="0.25">
      <c r="A50">
        <v>49</v>
      </c>
      <c r="B50">
        <v>5</v>
      </c>
      <c r="C50">
        <v>1</v>
      </c>
      <c r="D50" t="s">
        <v>0</v>
      </c>
      <c r="F50" s="2" t="s">
        <v>15</v>
      </c>
      <c r="H50" t="s">
        <v>30</v>
      </c>
      <c r="I50" t="s">
        <v>31</v>
      </c>
      <c r="J50" t="s">
        <v>30</v>
      </c>
      <c r="K50" t="s">
        <v>30</v>
      </c>
    </row>
    <row r="51" spans="1:11" x14ac:dyDescent="0.25">
      <c r="A51">
        <v>50</v>
      </c>
      <c r="B51">
        <v>5</v>
      </c>
      <c r="C51">
        <v>1</v>
      </c>
      <c r="D51" t="s">
        <v>0</v>
      </c>
      <c r="F51" s="2" t="s">
        <v>2</v>
      </c>
      <c r="H51" t="s">
        <v>31</v>
      </c>
      <c r="I51" t="s">
        <v>31</v>
      </c>
      <c r="J51" t="s">
        <v>30</v>
      </c>
      <c r="K51" t="s">
        <v>30</v>
      </c>
    </row>
    <row r="52" spans="1:11" x14ac:dyDescent="0.25">
      <c r="A52">
        <v>51</v>
      </c>
      <c r="B52">
        <v>4</v>
      </c>
      <c r="C52">
        <v>1</v>
      </c>
      <c r="D52" t="s">
        <v>0</v>
      </c>
      <c r="F52" s="2" t="s">
        <v>16</v>
      </c>
      <c r="H52" t="s">
        <v>31</v>
      </c>
      <c r="I52" t="s">
        <v>31</v>
      </c>
      <c r="J52" t="s">
        <v>30</v>
      </c>
      <c r="K52" t="s">
        <v>30</v>
      </c>
    </row>
    <row r="53" spans="1:11" x14ac:dyDescent="0.25">
      <c r="A53">
        <v>52</v>
      </c>
      <c r="B53">
        <v>4</v>
      </c>
      <c r="C53">
        <v>1</v>
      </c>
      <c r="D53" t="s">
        <v>0</v>
      </c>
      <c r="F53" s="2" t="s">
        <v>15</v>
      </c>
      <c r="H53" t="s">
        <v>31</v>
      </c>
      <c r="I53" t="s">
        <v>30</v>
      </c>
      <c r="J53" t="s">
        <v>30</v>
      </c>
      <c r="K53" t="s">
        <v>30</v>
      </c>
    </row>
    <row r="54" spans="1:11" hidden="1" x14ac:dyDescent="0.25">
      <c r="A54">
        <v>53</v>
      </c>
      <c r="B54">
        <v>3</v>
      </c>
      <c r="C54">
        <v>1</v>
      </c>
      <c r="D54" t="s">
        <v>0</v>
      </c>
      <c r="E54" s="2" t="s">
        <v>15</v>
      </c>
      <c r="F54" s="2" t="s">
        <v>16</v>
      </c>
      <c r="H54" t="s">
        <v>30</v>
      </c>
      <c r="I54" t="s">
        <v>31</v>
      </c>
      <c r="J54" t="s">
        <v>30</v>
      </c>
      <c r="K54" t="s">
        <v>31</v>
      </c>
    </row>
    <row r="55" spans="1:11" hidden="1" x14ac:dyDescent="0.25">
      <c r="A55">
        <v>54</v>
      </c>
      <c r="B55">
        <v>3</v>
      </c>
      <c r="C55">
        <v>1</v>
      </c>
      <c r="D55" t="s">
        <v>35</v>
      </c>
      <c r="F55" s="2" t="s">
        <v>5</v>
      </c>
      <c r="H55" t="s">
        <v>30</v>
      </c>
      <c r="I55" t="s">
        <v>31</v>
      </c>
      <c r="J55" t="s">
        <v>30</v>
      </c>
      <c r="K55" t="s">
        <v>31</v>
      </c>
    </row>
    <row r="56" spans="1:11" hidden="1" x14ac:dyDescent="0.25">
      <c r="A56">
        <v>55</v>
      </c>
      <c r="B56">
        <v>4</v>
      </c>
      <c r="C56">
        <v>2</v>
      </c>
      <c r="D56" t="s">
        <v>35</v>
      </c>
      <c r="E56" s="2" t="s">
        <v>4</v>
      </c>
      <c r="F56" s="2" t="s">
        <v>5</v>
      </c>
      <c r="G56" t="s">
        <v>33</v>
      </c>
      <c r="H56" t="s">
        <v>31</v>
      </c>
      <c r="I56" t="s">
        <v>31</v>
      </c>
      <c r="J56" t="s">
        <v>30</v>
      </c>
      <c r="K56" t="s">
        <v>31</v>
      </c>
    </row>
    <row r="57" spans="1:11" hidden="1" x14ac:dyDescent="0.25">
      <c r="A57">
        <v>56</v>
      </c>
      <c r="B57">
        <v>4</v>
      </c>
      <c r="C57">
        <v>2</v>
      </c>
      <c r="D57" t="s">
        <v>0</v>
      </c>
      <c r="E57" s="2" t="s">
        <v>5</v>
      </c>
      <c r="F57" s="2" t="s">
        <v>4</v>
      </c>
      <c r="G57" t="s">
        <v>32</v>
      </c>
      <c r="H57" t="s">
        <v>31</v>
      </c>
      <c r="I57" t="s">
        <v>31</v>
      </c>
      <c r="J57" t="s">
        <v>30</v>
      </c>
      <c r="K57" t="s">
        <v>31</v>
      </c>
    </row>
    <row r="58" spans="1:11" hidden="1" x14ac:dyDescent="0.25">
      <c r="A58">
        <v>57</v>
      </c>
      <c r="B58">
        <v>6</v>
      </c>
      <c r="C58">
        <v>2</v>
      </c>
      <c r="D58" t="s">
        <v>35</v>
      </c>
      <c r="E58" s="2" t="s">
        <v>5</v>
      </c>
      <c r="F58" s="2" t="s">
        <v>5</v>
      </c>
      <c r="H58" t="s">
        <v>31</v>
      </c>
      <c r="I58" t="s">
        <v>31</v>
      </c>
      <c r="J58" t="s">
        <v>30</v>
      </c>
      <c r="K58" t="s">
        <v>31</v>
      </c>
    </row>
    <row r="59" spans="1:11" x14ac:dyDescent="0.25">
      <c r="A59">
        <v>58</v>
      </c>
      <c r="B59">
        <v>3</v>
      </c>
      <c r="C59">
        <v>3</v>
      </c>
      <c r="D59" t="s">
        <v>35</v>
      </c>
      <c r="E59" s="2" t="s">
        <v>2</v>
      </c>
      <c r="F59" s="2" t="s">
        <v>2</v>
      </c>
      <c r="G59" t="s">
        <v>33</v>
      </c>
      <c r="H59" t="s">
        <v>30</v>
      </c>
      <c r="I59" t="s">
        <v>30</v>
      </c>
      <c r="J59" t="s">
        <v>30</v>
      </c>
      <c r="K59" t="s">
        <v>30</v>
      </c>
    </row>
    <row r="60" spans="1:11" x14ac:dyDescent="0.25">
      <c r="A60">
        <v>59</v>
      </c>
      <c r="B60">
        <v>2</v>
      </c>
      <c r="C60">
        <v>3</v>
      </c>
      <c r="D60" t="s">
        <v>35</v>
      </c>
      <c r="E60" s="2" t="s">
        <v>2</v>
      </c>
      <c r="F60" s="2" t="s">
        <v>2</v>
      </c>
      <c r="G60" t="s">
        <v>32</v>
      </c>
      <c r="H60" t="s">
        <v>30</v>
      </c>
      <c r="I60" t="s">
        <v>30</v>
      </c>
      <c r="J60" t="s">
        <v>30</v>
      </c>
      <c r="K60" t="s">
        <v>30</v>
      </c>
    </row>
    <row r="61" spans="1:11" x14ac:dyDescent="0.25">
      <c r="A61">
        <v>60</v>
      </c>
      <c r="B61">
        <v>3</v>
      </c>
      <c r="C61">
        <v>3</v>
      </c>
      <c r="D61" t="s">
        <v>35</v>
      </c>
      <c r="E61" s="2" t="s">
        <v>2</v>
      </c>
      <c r="F61" s="2" t="s">
        <v>2</v>
      </c>
      <c r="G61" t="s">
        <v>33</v>
      </c>
      <c r="H61" t="s">
        <v>30</v>
      </c>
      <c r="I61" t="s">
        <v>30</v>
      </c>
      <c r="J61" t="s">
        <v>30</v>
      </c>
      <c r="K61" t="s">
        <v>30</v>
      </c>
    </row>
    <row r="62" spans="1:11" x14ac:dyDescent="0.25">
      <c r="A62">
        <v>61</v>
      </c>
      <c r="B62">
        <v>5</v>
      </c>
      <c r="C62">
        <v>3</v>
      </c>
      <c r="D62" t="s">
        <v>35</v>
      </c>
      <c r="E62" s="2" t="s">
        <v>2</v>
      </c>
      <c r="F62" s="2" t="s">
        <v>2</v>
      </c>
      <c r="G62" t="s">
        <v>33</v>
      </c>
      <c r="H62" t="s">
        <v>30</v>
      </c>
      <c r="I62" t="s">
        <v>30</v>
      </c>
      <c r="J62" t="s">
        <v>30</v>
      </c>
      <c r="K62" t="s">
        <v>30</v>
      </c>
    </row>
    <row r="63" spans="1:11" x14ac:dyDescent="0.25">
      <c r="A63">
        <v>62</v>
      </c>
      <c r="B63">
        <v>2</v>
      </c>
      <c r="C63">
        <v>3</v>
      </c>
      <c r="D63" t="s">
        <v>35</v>
      </c>
      <c r="E63" s="2" t="s">
        <v>2</v>
      </c>
      <c r="F63" s="2" t="s">
        <v>3</v>
      </c>
      <c r="H63" t="s">
        <v>30</v>
      </c>
      <c r="I63" t="s">
        <v>31</v>
      </c>
      <c r="J63" t="s">
        <v>30</v>
      </c>
      <c r="K63" t="s">
        <v>30</v>
      </c>
    </row>
    <row r="64" spans="1:11" x14ac:dyDescent="0.25">
      <c r="A64">
        <v>63</v>
      </c>
      <c r="B64">
        <v>5</v>
      </c>
      <c r="C64">
        <v>3</v>
      </c>
      <c r="D64" t="s">
        <v>0</v>
      </c>
      <c r="E64" s="2" t="s">
        <v>15</v>
      </c>
      <c r="F64" s="2" t="s">
        <v>15</v>
      </c>
      <c r="H64" t="s">
        <v>31</v>
      </c>
      <c r="I64" t="s">
        <v>31</v>
      </c>
      <c r="J64" t="s">
        <v>30</v>
      </c>
      <c r="K64" t="s">
        <v>30</v>
      </c>
    </row>
    <row r="65" spans="1:11" x14ac:dyDescent="0.25">
      <c r="A65">
        <v>64</v>
      </c>
      <c r="B65">
        <v>3</v>
      </c>
      <c r="C65">
        <v>3</v>
      </c>
      <c r="D65" t="s">
        <v>0</v>
      </c>
      <c r="E65" s="2" t="s">
        <v>15</v>
      </c>
      <c r="F65" s="2" t="s">
        <v>15</v>
      </c>
      <c r="H65" t="s">
        <v>31</v>
      </c>
      <c r="I65" t="s">
        <v>30</v>
      </c>
      <c r="J65" t="s">
        <v>30</v>
      </c>
      <c r="K65" t="s">
        <v>30</v>
      </c>
    </row>
    <row r="66" spans="1:11" x14ac:dyDescent="0.25">
      <c r="A66">
        <v>65</v>
      </c>
      <c r="B66">
        <v>6</v>
      </c>
      <c r="C66">
        <v>3</v>
      </c>
      <c r="D66" t="s">
        <v>0</v>
      </c>
      <c r="E66" s="2" t="s">
        <v>2</v>
      </c>
      <c r="F66" s="2" t="s">
        <v>2</v>
      </c>
      <c r="H66" t="s">
        <v>31</v>
      </c>
      <c r="I66" t="s">
        <v>31</v>
      </c>
      <c r="J66" t="s">
        <v>30</v>
      </c>
      <c r="K66" t="s">
        <v>30</v>
      </c>
    </row>
    <row r="67" spans="1:11" x14ac:dyDescent="0.25">
      <c r="A67">
        <v>66</v>
      </c>
      <c r="B67">
        <v>5</v>
      </c>
      <c r="C67">
        <v>3</v>
      </c>
      <c r="D67" t="s">
        <v>35</v>
      </c>
      <c r="E67" s="2" t="s">
        <v>2</v>
      </c>
      <c r="F67" s="2" t="s">
        <v>3</v>
      </c>
      <c r="H67" t="s">
        <v>30</v>
      </c>
      <c r="I67" t="s">
        <v>31</v>
      </c>
      <c r="J67" t="s">
        <v>30</v>
      </c>
      <c r="K67" t="s">
        <v>30</v>
      </c>
    </row>
    <row r="68" spans="1:11" x14ac:dyDescent="0.25">
      <c r="A68">
        <v>67</v>
      </c>
      <c r="B68">
        <v>5</v>
      </c>
      <c r="C68">
        <v>3</v>
      </c>
      <c r="D68" t="s">
        <v>0</v>
      </c>
      <c r="E68" s="2" t="s">
        <v>2</v>
      </c>
      <c r="F68" s="2" t="s">
        <v>2</v>
      </c>
      <c r="G68" t="s">
        <v>33</v>
      </c>
      <c r="H68" t="s">
        <v>30</v>
      </c>
      <c r="I68" t="s">
        <v>30</v>
      </c>
      <c r="J68" t="s">
        <v>30</v>
      </c>
      <c r="K68" t="s">
        <v>30</v>
      </c>
    </row>
    <row r="69" spans="1:11" x14ac:dyDescent="0.25">
      <c r="A69">
        <v>68</v>
      </c>
      <c r="B69">
        <v>5</v>
      </c>
      <c r="C69">
        <v>3</v>
      </c>
      <c r="D69" t="s">
        <v>35</v>
      </c>
      <c r="F69" s="2" t="s">
        <v>2</v>
      </c>
      <c r="G69" t="s">
        <v>33</v>
      </c>
      <c r="H69" t="s">
        <v>30</v>
      </c>
      <c r="I69" t="s">
        <v>31</v>
      </c>
      <c r="J69" t="s">
        <v>30</v>
      </c>
      <c r="K69" t="s">
        <v>30</v>
      </c>
    </row>
    <row r="70" spans="1:11" x14ac:dyDescent="0.25">
      <c r="A70">
        <v>69</v>
      </c>
      <c r="B70">
        <v>4</v>
      </c>
      <c r="C70">
        <v>3</v>
      </c>
      <c r="D70" t="s">
        <v>35</v>
      </c>
      <c r="F70" s="2" t="s">
        <v>2</v>
      </c>
      <c r="G70" t="s">
        <v>33</v>
      </c>
      <c r="H70" t="s">
        <v>30</v>
      </c>
      <c r="I70" t="s">
        <v>31</v>
      </c>
      <c r="J70" t="s">
        <v>30</v>
      </c>
      <c r="K70" t="s">
        <v>30</v>
      </c>
    </row>
    <row r="71" spans="1:11" x14ac:dyDescent="0.25">
      <c r="A71">
        <v>70</v>
      </c>
      <c r="B71">
        <v>4</v>
      </c>
      <c r="C71">
        <v>3</v>
      </c>
      <c r="D71" t="s">
        <v>35</v>
      </c>
      <c r="F71" s="2" t="s">
        <v>5</v>
      </c>
      <c r="G71" t="s">
        <v>32</v>
      </c>
      <c r="H71" t="s">
        <v>30</v>
      </c>
      <c r="I71" t="s">
        <v>30</v>
      </c>
      <c r="J71" t="s">
        <v>30</v>
      </c>
      <c r="K71" t="s">
        <v>30</v>
      </c>
    </row>
    <row r="72" spans="1:11" x14ac:dyDescent="0.25">
      <c r="A72">
        <v>71</v>
      </c>
      <c r="B72">
        <v>4</v>
      </c>
      <c r="C72">
        <v>3</v>
      </c>
      <c r="D72" t="s">
        <v>0</v>
      </c>
      <c r="F72" s="2" t="s">
        <v>2</v>
      </c>
      <c r="H72" t="s">
        <v>30</v>
      </c>
      <c r="I72" t="s">
        <v>31</v>
      </c>
      <c r="J72" t="s">
        <v>30</v>
      </c>
      <c r="K72" t="s">
        <v>30</v>
      </c>
    </row>
    <row r="73" spans="1:11" x14ac:dyDescent="0.25">
      <c r="A73">
        <v>72</v>
      </c>
      <c r="B73">
        <v>4</v>
      </c>
      <c r="C73">
        <v>3</v>
      </c>
      <c r="D73" t="s">
        <v>35</v>
      </c>
      <c r="F73" s="2" t="s">
        <v>16</v>
      </c>
      <c r="H73" t="s">
        <v>31</v>
      </c>
      <c r="I73" t="s">
        <v>30</v>
      </c>
      <c r="J73" t="s">
        <v>30</v>
      </c>
      <c r="K73" t="s">
        <v>30</v>
      </c>
    </row>
    <row r="74" spans="1:11" x14ac:dyDescent="0.25">
      <c r="A74">
        <v>73</v>
      </c>
      <c r="B74">
        <v>4</v>
      </c>
      <c r="C74">
        <v>3</v>
      </c>
      <c r="D74" t="s">
        <v>35</v>
      </c>
      <c r="F74" s="2" t="s">
        <v>16</v>
      </c>
      <c r="H74" t="s">
        <v>31</v>
      </c>
      <c r="I74" t="s">
        <v>30</v>
      </c>
      <c r="J74" t="s">
        <v>30</v>
      </c>
      <c r="K74" t="s">
        <v>30</v>
      </c>
    </row>
    <row r="75" spans="1:11" x14ac:dyDescent="0.25">
      <c r="A75">
        <v>74</v>
      </c>
      <c r="B75">
        <v>3</v>
      </c>
      <c r="C75">
        <v>3</v>
      </c>
      <c r="D75" t="s">
        <v>0</v>
      </c>
      <c r="F75" s="2" t="s">
        <v>5</v>
      </c>
      <c r="G75" t="s">
        <v>17</v>
      </c>
      <c r="H75" t="s">
        <v>30</v>
      </c>
      <c r="I75" t="s">
        <v>30</v>
      </c>
      <c r="J75" t="s">
        <v>30</v>
      </c>
      <c r="K75" t="s">
        <v>30</v>
      </c>
    </row>
    <row r="76" spans="1:11" x14ac:dyDescent="0.25">
      <c r="A76">
        <v>75</v>
      </c>
      <c r="B76">
        <v>5</v>
      </c>
      <c r="C76">
        <v>3</v>
      </c>
      <c r="D76" t="s">
        <v>35</v>
      </c>
      <c r="F76" s="2" t="s">
        <v>5</v>
      </c>
      <c r="H76" t="s">
        <v>30</v>
      </c>
      <c r="I76" t="s">
        <v>31</v>
      </c>
      <c r="J76" t="s">
        <v>30</v>
      </c>
      <c r="K76" t="s">
        <v>30</v>
      </c>
    </row>
    <row r="77" spans="1:11" x14ac:dyDescent="0.25">
      <c r="A77">
        <v>76</v>
      </c>
      <c r="B77">
        <v>4</v>
      </c>
      <c r="C77">
        <v>3</v>
      </c>
      <c r="D77" t="s">
        <v>35</v>
      </c>
      <c r="F77" s="2" t="s">
        <v>5</v>
      </c>
      <c r="H77" t="s">
        <v>30</v>
      </c>
      <c r="I77" t="s">
        <v>31</v>
      </c>
      <c r="J77" t="s">
        <v>30</v>
      </c>
      <c r="K77" t="s">
        <v>30</v>
      </c>
    </row>
    <row r="78" spans="1:11" x14ac:dyDescent="0.25">
      <c r="A78">
        <v>77</v>
      </c>
      <c r="B78">
        <v>3</v>
      </c>
      <c r="C78">
        <v>3</v>
      </c>
      <c r="D78" t="s">
        <v>35</v>
      </c>
      <c r="E78" s="2" t="s">
        <v>11</v>
      </c>
      <c r="F78" s="2" t="s">
        <v>11</v>
      </c>
      <c r="G78" t="s">
        <v>33</v>
      </c>
      <c r="H78" t="s">
        <v>31</v>
      </c>
      <c r="I78" t="s">
        <v>30</v>
      </c>
      <c r="J78" t="s">
        <v>30</v>
      </c>
      <c r="K78" t="s">
        <v>30</v>
      </c>
    </row>
    <row r="79" spans="1:11" x14ac:dyDescent="0.25">
      <c r="A79">
        <v>78</v>
      </c>
      <c r="B79">
        <v>2</v>
      </c>
      <c r="C79" t="s">
        <v>37</v>
      </c>
      <c r="D79" t="s">
        <v>35</v>
      </c>
      <c r="F79" s="2" t="s">
        <v>18</v>
      </c>
      <c r="H79" t="s">
        <v>31</v>
      </c>
      <c r="I79" t="s">
        <v>31</v>
      </c>
      <c r="J79" t="s">
        <v>30</v>
      </c>
      <c r="K79" t="s">
        <v>30</v>
      </c>
    </row>
    <row r="80" spans="1:11" x14ac:dyDescent="0.25">
      <c r="A80">
        <v>79</v>
      </c>
      <c r="B80">
        <v>6</v>
      </c>
      <c r="C80" t="s">
        <v>37</v>
      </c>
      <c r="D80" t="s">
        <v>35</v>
      </c>
      <c r="F80" s="2" t="s">
        <v>11</v>
      </c>
      <c r="H80" t="s">
        <v>31</v>
      </c>
      <c r="I80" t="s">
        <v>31</v>
      </c>
      <c r="J80" t="s">
        <v>30</v>
      </c>
      <c r="K80" t="s">
        <v>30</v>
      </c>
    </row>
    <row r="81" spans="1:11" x14ac:dyDescent="0.25">
      <c r="A81">
        <v>80</v>
      </c>
      <c r="B81">
        <v>2</v>
      </c>
      <c r="C81" t="s">
        <v>37</v>
      </c>
      <c r="D81" t="s">
        <v>35</v>
      </c>
      <c r="F81" s="2" t="s">
        <v>15</v>
      </c>
      <c r="H81" t="s">
        <v>30</v>
      </c>
      <c r="I81" t="s">
        <v>30</v>
      </c>
      <c r="J81" t="s">
        <v>30</v>
      </c>
      <c r="K81" t="s">
        <v>30</v>
      </c>
    </row>
    <row r="82" spans="1:11" x14ac:dyDescent="0.25">
      <c r="A82">
        <v>81</v>
      </c>
      <c r="B82">
        <v>4</v>
      </c>
      <c r="C82" t="s">
        <v>37</v>
      </c>
      <c r="D82" t="s">
        <v>35</v>
      </c>
      <c r="F82" s="2" t="s">
        <v>11</v>
      </c>
      <c r="H82" t="s">
        <v>31</v>
      </c>
      <c r="I82" t="s">
        <v>31</v>
      </c>
      <c r="J82" t="s">
        <v>30</v>
      </c>
      <c r="K82" t="s">
        <v>30</v>
      </c>
    </row>
    <row r="83" spans="1:11" x14ac:dyDescent="0.25">
      <c r="A83">
        <v>82</v>
      </c>
      <c r="B83">
        <v>4</v>
      </c>
      <c r="C83" t="s">
        <v>37</v>
      </c>
      <c r="D83" t="s">
        <v>35</v>
      </c>
      <c r="E83" s="2" t="s">
        <v>4</v>
      </c>
      <c r="F83" s="2" t="s">
        <v>4</v>
      </c>
      <c r="H83" t="s">
        <v>31</v>
      </c>
      <c r="I83" t="s">
        <v>31</v>
      </c>
      <c r="J83" t="s">
        <v>30</v>
      </c>
      <c r="K83" t="s">
        <v>30</v>
      </c>
    </row>
    <row r="84" spans="1:11" hidden="1" x14ac:dyDescent="0.25">
      <c r="A84">
        <v>83</v>
      </c>
      <c r="B84">
        <v>3</v>
      </c>
      <c r="C84">
        <v>5</v>
      </c>
      <c r="D84" t="s">
        <v>0</v>
      </c>
      <c r="F84" s="2" t="s">
        <v>4</v>
      </c>
      <c r="H84" t="s">
        <v>30</v>
      </c>
      <c r="I84" t="s">
        <v>31</v>
      </c>
      <c r="J84" t="s">
        <v>30</v>
      </c>
      <c r="K84" t="s">
        <v>31</v>
      </c>
    </row>
    <row r="85" spans="1:11" hidden="1" x14ac:dyDescent="0.25">
      <c r="A85">
        <v>84</v>
      </c>
      <c r="B85">
        <v>4</v>
      </c>
      <c r="C85">
        <v>5</v>
      </c>
      <c r="D85" t="s">
        <v>35</v>
      </c>
      <c r="F85" s="2" t="s">
        <v>4</v>
      </c>
      <c r="H85" t="s">
        <v>31</v>
      </c>
      <c r="I85" t="s">
        <v>31</v>
      </c>
      <c r="J85" t="s">
        <v>30</v>
      </c>
      <c r="K85" t="s">
        <v>31</v>
      </c>
    </row>
    <row r="91" spans="1:11" x14ac:dyDescent="0.25">
      <c r="A91" s="12"/>
      <c r="B91" s="13"/>
      <c r="C91" s="22" t="s">
        <v>29</v>
      </c>
      <c r="D91" s="23"/>
      <c r="E91" s="23"/>
      <c r="F91" s="23"/>
      <c r="G91" s="23"/>
      <c r="H91" s="24"/>
    </row>
    <row r="92" spans="1:11" x14ac:dyDescent="0.25">
      <c r="A92" s="14" t="s">
        <v>28</v>
      </c>
      <c r="B92" s="15" t="s">
        <v>45</v>
      </c>
      <c r="C92" s="16" t="s">
        <v>47</v>
      </c>
      <c r="D92" s="16" t="s">
        <v>46</v>
      </c>
      <c r="E92" s="16" t="s">
        <v>48</v>
      </c>
      <c r="F92" s="16" t="s">
        <v>49</v>
      </c>
      <c r="G92" s="16" t="s">
        <v>50</v>
      </c>
      <c r="H92" s="17" t="s">
        <v>51</v>
      </c>
    </row>
    <row r="93" spans="1:11" x14ac:dyDescent="0.25">
      <c r="A93" s="8">
        <v>1</v>
      </c>
      <c r="B93" s="5">
        <f>9/84</f>
        <v>0.10714285714285714</v>
      </c>
      <c r="C93" s="18">
        <v>2</v>
      </c>
      <c r="D93" s="19">
        <v>6</v>
      </c>
      <c r="E93" s="2">
        <f>AVEDEV(B47:B55)</f>
        <v>0.93827160493827166</v>
      </c>
      <c r="F93" s="2">
        <f>_xlfn.STDEV.S(B47:B55)</f>
        <v>1.1303883305208784</v>
      </c>
      <c r="G93">
        <f>MEDIAN(B47:B55)</f>
        <v>4</v>
      </c>
      <c r="H93" s="34"/>
    </row>
    <row r="94" spans="1:11" x14ac:dyDescent="0.25">
      <c r="A94" s="8">
        <v>2</v>
      </c>
      <c r="B94" s="5">
        <f>3/84*100</f>
        <v>3.5714285714285712</v>
      </c>
      <c r="C94" s="18">
        <v>2</v>
      </c>
      <c r="D94" s="19">
        <v>6</v>
      </c>
      <c r="E94" s="2">
        <f>AVEDEV(B56:B58)</f>
        <v>0.88888888888888895</v>
      </c>
      <c r="F94" s="2">
        <f>_xlfn.STDEV.S(B56:B58)</f>
        <v>1.1547005383792526</v>
      </c>
      <c r="G94" s="19">
        <f>MEDIAN(B56:B58)</f>
        <v>4</v>
      </c>
      <c r="H94" s="20"/>
    </row>
    <row r="95" spans="1:11" x14ac:dyDescent="0.25">
      <c r="A95" s="8">
        <v>3</v>
      </c>
      <c r="B95" s="5">
        <f>20/84*100</f>
        <v>23.809523809523807</v>
      </c>
      <c r="C95" s="18">
        <v>2</v>
      </c>
      <c r="D95" s="19">
        <v>6</v>
      </c>
      <c r="E95" s="2">
        <f>AVEDEV(B59:B78)</f>
        <v>0.86500000000000044</v>
      </c>
      <c r="F95" s="2">
        <f>_xlfn.STDEV.S(B59:B78)</f>
        <v>1.0990426455975695</v>
      </c>
      <c r="G95" s="19">
        <f>MEDIAN(B59:B78)</f>
        <v>4</v>
      </c>
      <c r="H95" s="20"/>
    </row>
    <row r="96" spans="1:11" x14ac:dyDescent="0.25">
      <c r="A96" s="8">
        <v>5</v>
      </c>
      <c r="B96" s="5">
        <f>2/84*100</f>
        <v>2.3809523809523809</v>
      </c>
      <c r="C96" s="18">
        <v>2</v>
      </c>
      <c r="D96" s="19">
        <v>6</v>
      </c>
      <c r="E96" s="2">
        <f>AVEDEV(B84:B85)</f>
        <v>0.5</v>
      </c>
      <c r="F96" s="2">
        <f>_xlfn.STDEV.S(B84:B85)</f>
        <v>0.70710678118654757</v>
      </c>
      <c r="G96" s="19">
        <f>MEDIAN(B84:B85)</f>
        <v>3.5</v>
      </c>
      <c r="H96" s="20"/>
    </row>
    <row r="97" spans="1:8" x14ac:dyDescent="0.25">
      <c r="A97" s="8" t="s">
        <v>42</v>
      </c>
      <c r="B97" s="5">
        <f>22/84*100</f>
        <v>26.190476190476193</v>
      </c>
      <c r="C97" s="18">
        <v>2</v>
      </c>
      <c r="D97" s="19">
        <v>6</v>
      </c>
      <c r="E97" s="2">
        <f>AVEDEV(B2:B23)</f>
        <v>0.74380165289256217</v>
      </c>
      <c r="F97" s="2">
        <f>_xlfn.STDEV.S(B2:B23)</f>
        <v>0.94548368253470827</v>
      </c>
      <c r="G97" s="19">
        <f>MEDIAN(B2:B23)</f>
        <v>5</v>
      </c>
      <c r="H97" s="20"/>
    </row>
    <row r="98" spans="1:8" x14ac:dyDescent="0.25">
      <c r="A98" s="8" t="s">
        <v>43</v>
      </c>
      <c r="B98" s="6">
        <f>5/84*100</f>
        <v>5.9523809523809517</v>
      </c>
      <c r="C98" s="18">
        <v>2</v>
      </c>
      <c r="D98" s="19">
        <v>6</v>
      </c>
      <c r="E98" s="2">
        <f>AVEDEV(B79:B83)</f>
        <v>1.28</v>
      </c>
      <c r="F98" s="2">
        <f>_xlfn.STDEV.S(B79:B83)</f>
        <v>1.6733200530681513</v>
      </c>
      <c r="G98" s="19">
        <f>MEDIAN(B79:B83)</f>
        <v>4</v>
      </c>
      <c r="H98" s="20"/>
    </row>
    <row r="99" spans="1:8" x14ac:dyDescent="0.25">
      <c r="A99" s="8" t="s">
        <v>44</v>
      </c>
      <c r="B99" s="5">
        <f>23/84*100</f>
        <v>27.380952380952383</v>
      </c>
      <c r="C99" s="18">
        <v>2</v>
      </c>
      <c r="D99" s="19">
        <v>6</v>
      </c>
      <c r="E99" s="2">
        <f>AVEDEV(B24:B46)</f>
        <v>0.77126654064272204</v>
      </c>
      <c r="F99" s="2">
        <f>_xlfn.STDEV.S(B24:B46)</f>
        <v>0.93462173447939045</v>
      </c>
      <c r="G99" s="19">
        <f>MEDIAN(B24:B46)</f>
        <v>3</v>
      </c>
      <c r="H99" s="20"/>
    </row>
    <row r="100" spans="1:8" ht="15.75" thickBot="1" x14ac:dyDescent="0.3">
      <c r="A100" s="9" t="s">
        <v>52</v>
      </c>
      <c r="B100" s="10">
        <v>84</v>
      </c>
      <c r="C100" s="10"/>
      <c r="D100" s="10"/>
      <c r="E100" s="25">
        <f>AVERAGE(B2:B85)</f>
        <v>3.8333333333333335</v>
      </c>
      <c r="F100" s="25">
        <f>_xlfn.STDEV.S(B2:B85)</f>
        <v>1.0958116685139863</v>
      </c>
      <c r="G100" s="10">
        <f>MEDIAN(B2:B85)</f>
        <v>4</v>
      </c>
      <c r="H100" s="21">
        <f>_xlfn.QUARTILE.INC(B2:B85,3)- _xlfn.QUARTILE.INC(B2:B85,1)</f>
        <v>2</v>
      </c>
    </row>
    <row r="101" spans="1:8" ht="15.75" thickBot="1" x14ac:dyDescent="0.3"/>
    <row r="102" spans="1:8" x14ac:dyDescent="0.25">
      <c r="A102" s="30" t="s">
        <v>35</v>
      </c>
      <c r="B102" s="31">
        <f>67/84</f>
        <v>0.79761904761904767</v>
      </c>
    </row>
    <row r="103" spans="1:8" x14ac:dyDescent="0.25">
      <c r="A103" s="32" t="s">
        <v>53</v>
      </c>
      <c r="B103" s="7">
        <f>15/84</f>
        <v>0.17857142857142858</v>
      </c>
    </row>
    <row r="104" spans="1:8" ht="15.75" thickBot="1" x14ac:dyDescent="0.3">
      <c r="A104" s="33" t="s">
        <v>54</v>
      </c>
      <c r="B104" s="11">
        <f>2/84</f>
        <v>2.3809523809523808E-2</v>
      </c>
    </row>
    <row r="107" spans="1:8" x14ac:dyDescent="0.25">
      <c r="A107" s="26" t="s">
        <v>55</v>
      </c>
      <c r="B107">
        <v>0</v>
      </c>
    </row>
    <row r="108" spans="1:8" x14ac:dyDescent="0.25">
      <c r="A108" s="26" t="s">
        <v>56</v>
      </c>
      <c r="B108">
        <v>0</v>
      </c>
    </row>
    <row r="109" spans="1:8" x14ac:dyDescent="0.25">
      <c r="A109" t="s">
        <v>18</v>
      </c>
      <c r="B109">
        <v>1</v>
      </c>
    </row>
    <row r="110" spans="1:8" x14ac:dyDescent="0.25">
      <c r="A110" t="s">
        <v>2</v>
      </c>
      <c r="B110">
        <v>31</v>
      </c>
    </row>
    <row r="111" spans="1:8" x14ac:dyDescent="0.25">
      <c r="A111" t="s">
        <v>3</v>
      </c>
      <c r="B111">
        <v>3</v>
      </c>
    </row>
    <row r="112" spans="1:8" x14ac:dyDescent="0.25">
      <c r="A112" t="s">
        <v>6</v>
      </c>
      <c r="B112">
        <v>1</v>
      </c>
    </row>
    <row r="113" spans="1:2" x14ac:dyDescent="0.25">
      <c r="A113" t="s">
        <v>15</v>
      </c>
      <c r="B113">
        <v>5</v>
      </c>
    </row>
    <row r="114" spans="1:2" x14ac:dyDescent="0.25">
      <c r="A114" t="s">
        <v>16</v>
      </c>
      <c r="B114">
        <v>4</v>
      </c>
    </row>
    <row r="115" spans="1:2" x14ac:dyDescent="0.25">
      <c r="A115" t="s">
        <v>5</v>
      </c>
      <c r="B115">
        <v>17</v>
      </c>
    </row>
    <row r="116" spans="1:2" x14ac:dyDescent="0.25">
      <c r="A116" t="s">
        <v>4</v>
      </c>
      <c r="B116">
        <v>11</v>
      </c>
    </row>
    <row r="117" spans="1:2" x14ac:dyDescent="0.25">
      <c r="A117" t="s">
        <v>11</v>
      </c>
      <c r="B117">
        <v>7</v>
      </c>
    </row>
    <row r="118" spans="1:2" x14ac:dyDescent="0.25">
      <c r="A118" t="s">
        <v>13</v>
      </c>
      <c r="B118">
        <v>1</v>
      </c>
    </row>
    <row r="119" spans="1:2" x14ac:dyDescent="0.25">
      <c r="A119" t="s">
        <v>14</v>
      </c>
      <c r="B119">
        <v>2</v>
      </c>
    </row>
    <row r="120" spans="1:2" x14ac:dyDescent="0.25">
      <c r="A120" t="s">
        <v>12</v>
      </c>
      <c r="B120">
        <v>1</v>
      </c>
    </row>
    <row r="123" spans="1:2" x14ac:dyDescent="0.25">
      <c r="A123" t="s">
        <v>61</v>
      </c>
      <c r="B123" s="35">
        <f>23/84*100</f>
        <v>27.380952380952383</v>
      </c>
    </row>
    <row r="124" spans="1:2" x14ac:dyDescent="0.25">
      <c r="A124" t="s">
        <v>60</v>
      </c>
      <c r="B124" s="35">
        <f>55/84*100</f>
        <v>65.476190476190482</v>
      </c>
    </row>
    <row r="125" spans="1:2" x14ac:dyDescent="0.25">
      <c r="A125" t="s">
        <v>23</v>
      </c>
      <c r="B125" s="35">
        <f>59/84*100</f>
        <v>70.238095238095227</v>
      </c>
    </row>
    <row r="126" spans="1:2" x14ac:dyDescent="0.25">
      <c r="A126" t="s">
        <v>62</v>
      </c>
      <c r="B126">
        <f>84/84*100</f>
        <v>100</v>
      </c>
    </row>
  </sheetData>
  <autoFilter ref="A1:L85" xr:uid="{CE98A1D6-7D61-4426-8424-92D1C18DCEE4}">
    <filterColumn colId="10">
      <filters>
        <filter val="yes"/>
      </filters>
    </filterColumn>
  </autoFilter>
  <sortState ref="B123:B126">
    <sortCondition ref="B123"/>
  </sortState>
  <mergeCells count="1">
    <mergeCell ref="C91:H9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3D5E-33E8-4A15-81BF-01B7BF900F1D}">
  <dimension ref="A1:A100"/>
  <sheetViews>
    <sheetView workbookViewId="0">
      <selection activeCell="A2" sqref="A2"/>
    </sheetView>
  </sheetViews>
  <sheetFormatPr defaultRowHeight="15" x14ac:dyDescent="0.25"/>
  <cols>
    <col min="1" max="1" width="22.5703125" style="2" bestFit="1" customWidth="1"/>
  </cols>
  <sheetData>
    <row r="1" spans="1:1" x14ac:dyDescent="0.25">
      <c r="A1" s="2" t="s">
        <v>25</v>
      </c>
    </row>
    <row r="2" spans="1:1" x14ac:dyDescent="0.25">
      <c r="A2" s="29"/>
    </row>
    <row r="3" spans="1:1" x14ac:dyDescent="0.25">
      <c r="A3" s="2" t="s">
        <v>2</v>
      </c>
    </row>
    <row r="4" spans="1:1" x14ac:dyDescent="0.25">
      <c r="A4" s="2" t="s">
        <v>2</v>
      </c>
    </row>
    <row r="5" spans="1:1" x14ac:dyDescent="0.25">
      <c r="A5" s="2" t="s">
        <v>2</v>
      </c>
    </row>
    <row r="6" spans="1:1" x14ac:dyDescent="0.25">
      <c r="A6" s="2" t="s">
        <v>5</v>
      </c>
    </row>
    <row r="7" spans="1:1" x14ac:dyDescent="0.25">
      <c r="A7" s="2" t="s">
        <v>5</v>
      </c>
    </row>
    <row r="8" spans="1:1" x14ac:dyDescent="0.25">
      <c r="A8" s="2" t="s">
        <v>5</v>
      </c>
    </row>
    <row r="9" spans="1:1" x14ac:dyDescent="0.25">
      <c r="A9" s="2" t="s">
        <v>2</v>
      </c>
    </row>
    <row r="10" spans="1:1" x14ac:dyDescent="0.25">
      <c r="A10" s="2" t="s">
        <v>2</v>
      </c>
    </row>
    <row r="11" spans="1:1" x14ac:dyDescent="0.25">
      <c r="A11" s="2" t="s">
        <v>2</v>
      </c>
    </row>
    <row r="12" spans="1:1" x14ac:dyDescent="0.25">
      <c r="A12" s="2" t="s">
        <v>2</v>
      </c>
    </row>
    <row r="13" spans="1:1" x14ac:dyDescent="0.25">
      <c r="A13" s="2" t="s">
        <v>2</v>
      </c>
    </row>
    <row r="14" spans="1:1" x14ac:dyDescent="0.25">
      <c r="A14" s="2" t="s">
        <v>2</v>
      </c>
    </row>
    <row r="15" spans="1:1" x14ac:dyDescent="0.25">
      <c r="A15" s="2" t="s">
        <v>2</v>
      </c>
    </row>
    <row r="16" spans="1:1" x14ac:dyDescent="0.25">
      <c r="A16" s="2" t="s">
        <v>2</v>
      </c>
    </row>
    <row r="17" spans="1:1" x14ac:dyDescent="0.25">
      <c r="A17" s="2" t="s">
        <v>2</v>
      </c>
    </row>
    <row r="18" spans="1:1" x14ac:dyDescent="0.25">
      <c r="A18" s="2" t="s">
        <v>2</v>
      </c>
    </row>
    <row r="19" spans="1:1" x14ac:dyDescent="0.25">
      <c r="A19" s="2" t="s">
        <v>2</v>
      </c>
    </row>
    <row r="20" spans="1:1" x14ac:dyDescent="0.25">
      <c r="A20" s="2" t="s">
        <v>2</v>
      </c>
    </row>
    <row r="21" spans="1:1" x14ac:dyDescent="0.25">
      <c r="A21" s="2" t="s">
        <v>2</v>
      </c>
    </row>
    <row r="22" spans="1:1" x14ac:dyDescent="0.25">
      <c r="A22" s="2" t="s">
        <v>2</v>
      </c>
    </row>
    <row r="23" spans="1:1" x14ac:dyDescent="0.25">
      <c r="A23" s="2" t="s">
        <v>2</v>
      </c>
    </row>
    <row r="24" spans="1:1" x14ac:dyDescent="0.25">
      <c r="A24" s="2" t="s">
        <v>5</v>
      </c>
    </row>
    <row r="25" spans="1:1" x14ac:dyDescent="0.25">
      <c r="A25" s="2" t="s">
        <v>5</v>
      </c>
    </row>
    <row r="26" spans="1:1" x14ac:dyDescent="0.25">
      <c r="A26" s="2" t="s">
        <v>4</v>
      </c>
    </row>
    <row r="27" spans="1:1" x14ac:dyDescent="0.25">
      <c r="A27" s="2" t="s">
        <v>5</v>
      </c>
    </row>
    <row r="28" spans="1:1" x14ac:dyDescent="0.25">
      <c r="A28" s="2" t="s">
        <v>4</v>
      </c>
    </row>
    <row r="29" spans="1:1" x14ac:dyDescent="0.25">
      <c r="A29" s="2" t="s">
        <v>2</v>
      </c>
    </row>
    <row r="30" spans="1:1" x14ac:dyDescent="0.25">
      <c r="A30" s="2" t="s">
        <v>3</v>
      </c>
    </row>
    <row r="31" spans="1:1" x14ac:dyDescent="0.25">
      <c r="A31" s="2" t="s">
        <v>6</v>
      </c>
    </row>
    <row r="32" spans="1:1" x14ac:dyDescent="0.25">
      <c r="A32" s="2" t="s">
        <v>5</v>
      </c>
    </row>
    <row r="33" spans="1:1" x14ac:dyDescent="0.25">
      <c r="A33" s="2" t="s">
        <v>5</v>
      </c>
    </row>
    <row r="34" spans="1:1" x14ac:dyDescent="0.25">
      <c r="A34" s="2" t="s">
        <v>5</v>
      </c>
    </row>
    <row r="35" spans="1:1" x14ac:dyDescent="0.25">
      <c r="A35" s="2" t="s">
        <v>4</v>
      </c>
    </row>
    <row r="36" spans="1:1" x14ac:dyDescent="0.25">
      <c r="A36" s="2" t="s">
        <v>4</v>
      </c>
    </row>
    <row r="37" spans="1:1" x14ac:dyDescent="0.25">
      <c r="A37" s="2" t="s">
        <v>4</v>
      </c>
    </row>
    <row r="38" spans="1:1" x14ac:dyDescent="0.25">
      <c r="A38" s="2" t="s">
        <v>11</v>
      </c>
    </row>
    <row r="39" spans="1:1" x14ac:dyDescent="0.25">
      <c r="A39" s="2" t="s">
        <v>12</v>
      </c>
    </row>
    <row r="40" spans="1:1" x14ac:dyDescent="0.25">
      <c r="A40" s="2" t="s">
        <v>11</v>
      </c>
    </row>
    <row r="41" spans="1:1" x14ac:dyDescent="0.25">
      <c r="A41" s="2" t="s">
        <v>4</v>
      </c>
    </row>
    <row r="42" spans="1:1" x14ac:dyDescent="0.25">
      <c r="A42" s="2" t="s">
        <v>4</v>
      </c>
    </row>
    <row r="43" spans="1:1" x14ac:dyDescent="0.25">
      <c r="A43" s="2" t="s">
        <v>11</v>
      </c>
    </row>
    <row r="44" spans="1:1" x14ac:dyDescent="0.25">
      <c r="A44" s="2" t="s">
        <v>13</v>
      </c>
    </row>
    <row r="45" spans="1:1" x14ac:dyDescent="0.25">
      <c r="A45" s="2" t="s">
        <v>14</v>
      </c>
    </row>
    <row r="46" spans="1:1" x14ac:dyDescent="0.25">
      <c r="A46" s="2" t="s">
        <v>14</v>
      </c>
    </row>
    <row r="47" spans="1:1" x14ac:dyDescent="0.25">
      <c r="A47" s="2" t="s">
        <v>5</v>
      </c>
    </row>
    <row r="48" spans="1:1" x14ac:dyDescent="0.25">
      <c r="A48" s="2" t="s">
        <v>11</v>
      </c>
    </row>
    <row r="49" spans="1:1" x14ac:dyDescent="0.25">
      <c r="A49" s="2" t="s">
        <v>2</v>
      </c>
    </row>
    <row r="50" spans="1:1" x14ac:dyDescent="0.25">
      <c r="A50" s="2" t="s">
        <v>15</v>
      </c>
    </row>
    <row r="51" spans="1:1" x14ac:dyDescent="0.25">
      <c r="A51" s="2" t="s">
        <v>2</v>
      </c>
    </row>
    <row r="52" spans="1:1" x14ac:dyDescent="0.25">
      <c r="A52" s="2" t="s">
        <v>16</v>
      </c>
    </row>
    <row r="53" spans="1:1" x14ac:dyDescent="0.25">
      <c r="A53" s="2" t="s">
        <v>15</v>
      </c>
    </row>
    <row r="54" spans="1:1" x14ac:dyDescent="0.25">
      <c r="A54" s="2" t="s">
        <v>16</v>
      </c>
    </row>
    <row r="55" spans="1:1" x14ac:dyDescent="0.25">
      <c r="A55" s="2" t="s">
        <v>5</v>
      </c>
    </row>
    <row r="56" spans="1:1" x14ac:dyDescent="0.25">
      <c r="A56" s="2" t="s">
        <v>5</v>
      </c>
    </row>
    <row r="57" spans="1:1" x14ac:dyDescent="0.25">
      <c r="A57" s="2" t="s">
        <v>4</v>
      </c>
    </row>
    <row r="58" spans="1:1" x14ac:dyDescent="0.25">
      <c r="A58" s="2" t="s">
        <v>5</v>
      </c>
    </row>
    <row r="59" spans="1:1" x14ac:dyDescent="0.25">
      <c r="A59" s="2" t="s">
        <v>2</v>
      </c>
    </row>
    <row r="60" spans="1:1" x14ac:dyDescent="0.25">
      <c r="A60" s="2" t="s">
        <v>2</v>
      </c>
    </row>
    <row r="61" spans="1:1" x14ac:dyDescent="0.25">
      <c r="A61" s="2" t="s">
        <v>2</v>
      </c>
    </row>
    <row r="62" spans="1:1" x14ac:dyDescent="0.25">
      <c r="A62" s="2" t="s">
        <v>2</v>
      </c>
    </row>
    <row r="63" spans="1:1" x14ac:dyDescent="0.25">
      <c r="A63" s="2" t="s">
        <v>3</v>
      </c>
    </row>
    <row r="64" spans="1:1" x14ac:dyDescent="0.25">
      <c r="A64" s="2" t="s">
        <v>15</v>
      </c>
    </row>
    <row r="65" spans="1:1" x14ac:dyDescent="0.25">
      <c r="A65" s="2" t="s">
        <v>15</v>
      </c>
    </row>
    <row r="66" spans="1:1" x14ac:dyDescent="0.25">
      <c r="A66" s="2" t="s">
        <v>2</v>
      </c>
    </row>
    <row r="67" spans="1:1" x14ac:dyDescent="0.25">
      <c r="A67" s="2" t="s">
        <v>3</v>
      </c>
    </row>
    <row r="68" spans="1:1" x14ac:dyDescent="0.25">
      <c r="A68" s="2" t="s">
        <v>2</v>
      </c>
    </row>
    <row r="69" spans="1:1" x14ac:dyDescent="0.25">
      <c r="A69" s="2" t="s">
        <v>2</v>
      </c>
    </row>
    <row r="70" spans="1:1" x14ac:dyDescent="0.25">
      <c r="A70" s="2" t="s">
        <v>2</v>
      </c>
    </row>
    <row r="71" spans="1:1" x14ac:dyDescent="0.25">
      <c r="A71" s="2" t="s">
        <v>5</v>
      </c>
    </row>
    <row r="72" spans="1:1" x14ac:dyDescent="0.25">
      <c r="A72" s="2" t="s">
        <v>2</v>
      </c>
    </row>
    <row r="73" spans="1:1" x14ac:dyDescent="0.25">
      <c r="A73" s="2" t="s">
        <v>16</v>
      </c>
    </row>
    <row r="74" spans="1:1" x14ac:dyDescent="0.25">
      <c r="A74" s="2" t="s">
        <v>16</v>
      </c>
    </row>
    <row r="75" spans="1:1" x14ac:dyDescent="0.25">
      <c r="A75" s="2" t="s">
        <v>5</v>
      </c>
    </row>
    <row r="76" spans="1:1" x14ac:dyDescent="0.25">
      <c r="A76" s="2" t="s">
        <v>5</v>
      </c>
    </row>
    <row r="77" spans="1:1" x14ac:dyDescent="0.25">
      <c r="A77" s="2" t="s">
        <v>5</v>
      </c>
    </row>
    <row r="78" spans="1:1" x14ac:dyDescent="0.25">
      <c r="A78" s="2" t="s">
        <v>11</v>
      </c>
    </row>
    <row r="79" spans="1:1" x14ac:dyDescent="0.25">
      <c r="A79" s="2" t="s">
        <v>18</v>
      </c>
    </row>
    <row r="80" spans="1:1" x14ac:dyDescent="0.25">
      <c r="A80" s="2" t="s">
        <v>11</v>
      </c>
    </row>
    <row r="81" spans="1:1" x14ac:dyDescent="0.25">
      <c r="A81" s="2" t="s">
        <v>15</v>
      </c>
    </row>
    <row r="82" spans="1:1" x14ac:dyDescent="0.25">
      <c r="A82" s="2" t="s">
        <v>11</v>
      </c>
    </row>
    <row r="83" spans="1:1" x14ac:dyDescent="0.25">
      <c r="A83" s="2" t="s">
        <v>4</v>
      </c>
    </row>
    <row r="84" spans="1:1" x14ac:dyDescent="0.25">
      <c r="A84" s="2" t="s">
        <v>4</v>
      </c>
    </row>
    <row r="85" spans="1:1" x14ac:dyDescent="0.25">
      <c r="A85" s="2" t="s">
        <v>4</v>
      </c>
    </row>
    <row r="91" spans="1:1" x14ac:dyDescent="0.25">
      <c r="A91"/>
    </row>
    <row r="92" spans="1:1" x14ac:dyDescent="0.25">
      <c r="A92" s="16" t="s">
        <v>49</v>
      </c>
    </row>
    <row r="93" spans="1:1" x14ac:dyDescent="0.25">
      <c r="A93" s="2" t="e">
        <f>_xlfn.STDEV.S(#REF!)</f>
        <v>#REF!</v>
      </c>
    </row>
    <row r="94" spans="1:1" x14ac:dyDescent="0.25">
      <c r="A94" s="2" t="e">
        <f>_xlfn.STDEV.S(#REF!)</f>
        <v>#REF!</v>
      </c>
    </row>
    <row r="95" spans="1:1" x14ac:dyDescent="0.25">
      <c r="A95" s="2" t="e">
        <f>_xlfn.STDEV.S(#REF!)</f>
        <v>#REF!</v>
      </c>
    </row>
    <row r="96" spans="1:1" x14ac:dyDescent="0.25">
      <c r="A96" s="2" t="e">
        <f>_xlfn.STDEV.S(#REF!)</f>
        <v>#REF!</v>
      </c>
    </row>
    <row r="97" spans="1:1" x14ac:dyDescent="0.25">
      <c r="A97" s="2" t="e">
        <f>_xlfn.STDEV.S(#REF!)</f>
        <v>#REF!</v>
      </c>
    </row>
    <row r="98" spans="1:1" x14ac:dyDescent="0.25">
      <c r="A98" s="2" t="e">
        <f>_xlfn.STDEV.S(#REF!)</f>
        <v>#REF!</v>
      </c>
    </row>
    <row r="99" spans="1:1" x14ac:dyDescent="0.25">
      <c r="A99" s="2" t="e">
        <f>_xlfn.STDEV.S(#REF!)</f>
        <v>#REF!</v>
      </c>
    </row>
    <row r="100" spans="1:1" ht="15.75" thickBot="1" x14ac:dyDescent="0.3">
      <c r="A100" s="25" t="e">
        <f>_xlfn.STDEV.S(#REF!)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FE51-79DE-4613-9BAC-BD56F1A0107D}">
  <dimension ref="B2:C14"/>
  <sheetViews>
    <sheetView workbookViewId="0">
      <selection activeCell="B1" sqref="B1:B2"/>
    </sheetView>
  </sheetViews>
  <sheetFormatPr defaultRowHeight="15" x14ac:dyDescent="0.25"/>
  <sheetData>
    <row r="2" spans="2:3" x14ac:dyDescent="0.25">
      <c r="B2">
        <v>4.0999999999999996</v>
      </c>
    </row>
    <row r="3" spans="2:3" x14ac:dyDescent="0.25">
      <c r="B3" t="s">
        <v>18</v>
      </c>
      <c r="C3">
        <v>1</v>
      </c>
    </row>
    <row r="4" spans="2:3" x14ac:dyDescent="0.25">
      <c r="B4" t="s">
        <v>2</v>
      </c>
      <c r="C4">
        <v>31</v>
      </c>
    </row>
    <row r="5" spans="2:3" x14ac:dyDescent="0.25">
      <c r="B5" t="s">
        <v>3</v>
      </c>
      <c r="C5">
        <v>3</v>
      </c>
    </row>
    <row r="6" spans="2:3" x14ac:dyDescent="0.25">
      <c r="B6" t="s">
        <v>6</v>
      </c>
      <c r="C6">
        <v>1</v>
      </c>
    </row>
    <row r="7" spans="2:3" x14ac:dyDescent="0.25">
      <c r="B7" t="s">
        <v>15</v>
      </c>
      <c r="C7">
        <v>5</v>
      </c>
    </row>
    <row r="8" spans="2:3" x14ac:dyDescent="0.25">
      <c r="B8" t="s">
        <v>16</v>
      </c>
      <c r="C8">
        <v>4</v>
      </c>
    </row>
    <row r="9" spans="2:3" x14ac:dyDescent="0.25">
      <c r="B9" t="s">
        <v>5</v>
      </c>
      <c r="C9">
        <v>17</v>
      </c>
    </row>
    <row r="10" spans="2:3" x14ac:dyDescent="0.25">
      <c r="B10" t="s">
        <v>4</v>
      </c>
      <c r="C10">
        <v>11</v>
      </c>
    </row>
    <row r="11" spans="2:3" x14ac:dyDescent="0.25">
      <c r="B11" t="s">
        <v>11</v>
      </c>
      <c r="C11">
        <v>7</v>
      </c>
    </row>
    <row r="12" spans="2:3" x14ac:dyDescent="0.25">
      <c r="B12" t="s">
        <v>13</v>
      </c>
      <c r="C12">
        <v>1</v>
      </c>
    </row>
    <row r="13" spans="2:3" x14ac:dyDescent="0.25">
      <c r="B13" t="s">
        <v>14</v>
      </c>
      <c r="C13">
        <v>2</v>
      </c>
    </row>
    <row r="14" spans="2:3" x14ac:dyDescent="0.25">
      <c r="B14" t="s">
        <v>12</v>
      </c>
      <c r="C14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98B7-0B83-462D-A46E-0AD501466384}">
  <dimension ref="A1:E8"/>
  <sheetViews>
    <sheetView workbookViewId="0">
      <selection activeCell="L2" sqref="L2"/>
    </sheetView>
  </sheetViews>
  <sheetFormatPr defaultRowHeight="15" x14ac:dyDescent="0.25"/>
  <cols>
    <col min="2" max="2" width="9.140625" style="4"/>
  </cols>
  <sheetData>
    <row r="1" spans="1:5" x14ac:dyDescent="0.25">
      <c r="A1" t="s">
        <v>28</v>
      </c>
      <c r="B1" s="4" t="s">
        <v>45</v>
      </c>
      <c r="C1" t="s">
        <v>39</v>
      </c>
      <c r="D1" t="s">
        <v>40</v>
      </c>
      <c r="E1" t="s">
        <v>41</v>
      </c>
    </row>
    <row r="2" spans="1:5" x14ac:dyDescent="0.25">
      <c r="A2" s="3">
        <v>1</v>
      </c>
      <c r="B2" s="4">
        <f>9/84</f>
        <v>0.10714285714285714</v>
      </c>
    </row>
    <row r="3" spans="1:5" x14ac:dyDescent="0.25">
      <c r="A3" s="3">
        <v>2</v>
      </c>
      <c r="B3" s="4">
        <f>3/84*100</f>
        <v>3.5714285714285712</v>
      </c>
    </row>
    <row r="4" spans="1:5" x14ac:dyDescent="0.25">
      <c r="A4" s="3">
        <v>3</v>
      </c>
      <c r="B4" s="4">
        <f>20/84*100</f>
        <v>23.809523809523807</v>
      </c>
    </row>
    <row r="5" spans="1:5" x14ac:dyDescent="0.25">
      <c r="A5" s="3">
        <v>5</v>
      </c>
      <c r="B5" s="4">
        <f>2/84*100</f>
        <v>2.3809523809523809</v>
      </c>
    </row>
    <row r="6" spans="1:5" x14ac:dyDescent="0.25">
      <c r="A6" s="3" t="s">
        <v>42</v>
      </c>
    </row>
    <row r="7" spans="1:5" x14ac:dyDescent="0.25">
      <c r="A7" s="3" t="s">
        <v>43</v>
      </c>
    </row>
    <row r="8" spans="1:5" x14ac:dyDescent="0.25">
      <c r="A8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Sheet3</vt:lpstr>
      <vt:lpstr>Sheet7</vt:lpstr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Public Health</cp:lastModifiedBy>
  <dcterms:created xsi:type="dcterms:W3CDTF">2018-10-20T05:51:15Z</dcterms:created>
  <dcterms:modified xsi:type="dcterms:W3CDTF">2025-10-23T21:07:33Z</dcterms:modified>
</cp:coreProperties>
</file>